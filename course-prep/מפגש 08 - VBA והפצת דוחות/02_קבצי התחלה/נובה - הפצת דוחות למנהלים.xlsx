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מחלקה" sheetId="1" state="visible" r:id="rId1"/>
    <sheet name="תלושים" sheetId="2" state="visible" r:id="rId2"/>
    <sheet name="תקן ותקציב" sheetId="3" state="visible" r:id="rId3"/>
    <sheet name="עובדים" sheetId="4" state="visible" r:id="rId4"/>
    <sheet name="מחלקות" sheetId="5" state="visible" r:id="rId5"/>
    <sheet name="מנהלים" sheetId="6" state="visible" r:id="rId6"/>
    <sheet name="הגדרות" sheetId="7" state="visible" r:id="rId7"/>
  </sheets>
  <definedNames>
    <definedName name="ReportYear">'הגדרות'!$B$3</definedName>
    <definedName name="ReportMonth">'הגדרות'!$B$4</definedName>
    <definedName name="OutputFolder">'הגדרות'!$B$5</definedName>
    <definedName name="SendNow">'הגדרות'!$B$6</definedName>
    <definedName name="MailSubject">'הגדרות'!$B$7</definedName>
    <definedName name="MailBody">'הגדרות'!$B$8</definedName>
    <definedName name="DeptCell">'דוח מחלקה'!$B$2</definedName>
    <definedName name="_xlnm.Print_Area" localSheetId="0">'דוח מחלקה'!$A$1:$F$24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yyyy"/>
    <numFmt numFmtId="166" formatCode="dd/mm/yyyy"/>
    <numFmt numFmtId="167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0F2540"/>
      <sz val="16"/>
    </font>
    <font>
      <b val="1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F254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165" fontId="0" fillId="0" borderId="1" pivotButton="0" quotePrefix="0" xfId="0"/>
    <xf numFmtId="3" fontId="0" fillId="0" borderId="1" pivotButton="0" quotePrefix="0" xfId="0"/>
    <xf numFmtId="167" fontId="0" fillId="0" borderId="1" pivotButton="0" quotePrefix="0" xfId="0"/>
    <xf numFmtId="3" fontId="3" fillId="0" borderId="0" pivotButton="0" quotePrefix="0" xfId="0"/>
    <xf numFmtId="2" fontId="3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Payroll" displayName="tblPayroll" ref="A1:K97" headerRowCount="1">
  <autoFilter ref="A1:K97"/>
  <tableColumns count="11">
    <tableColumn id="1" name="חודש"/>
    <tableColumn id="2" name="מס עובד"/>
    <tableColumn id="3" name="מחלקה"/>
    <tableColumn id="4" name="שכר בסיס"/>
    <tableColumn id="5" name="עמלות"/>
    <tableColumn id="6" name="ברוטו"/>
    <tableColumn id="7" name="ביטוח לאומי מעביד"/>
    <tableColumn id="8" name="פנסיה מעביד"/>
    <tableColumn id="9" name="פיצויים"/>
    <tableColumn id="10" name="קרן השתלמות מעביד"/>
    <tableColumn id="11" name="עלות מעביד"/>
  </tableColumns>
  <tableStyleInfo name="TableStyleMedium2" showRowStripes="1"/>
</table>
</file>

<file path=xl/tables/table2.xml><?xml version="1.0" encoding="utf-8"?>
<table xmlns="http://schemas.openxmlformats.org/spreadsheetml/2006/main" id="2" name="tblHeadcountPlan" displayName="tblHeadcountPlan" ref="A1:D97" headerRowCount="1">
  <autoFilter ref="A1:D97"/>
  <tableColumns count="4">
    <tableColumn id="1" name="מחלקה"/>
    <tableColumn id="2" name="חודש"/>
    <tableColumn id="3" name="תקן"/>
    <tableColumn id="4" name="תקציב עלות מעביד"/>
  </tableColumns>
  <tableStyleInfo name="TableStyleMedium2" showRowStripes="1"/>
</table>
</file>

<file path=xl/tables/table3.xml><?xml version="1.0" encoding="utf-8"?>
<table xmlns="http://schemas.openxmlformats.org/spreadsheetml/2006/main" id="3" name="tblEmployees" displayName="tblEmployees" ref="A1:G7" headerRowCount="1">
  <autoFilter ref="A1:G7"/>
  <tableColumns count="7">
    <tableColumn id="1" name="מס עובד"/>
    <tableColumn id="2" name="שם עובד"/>
    <tableColumn id="3" name="מחלקה"/>
    <tableColumn id="4" name="תפקיד"/>
    <tableColumn id="5" name="תאריך תחילה"/>
    <tableColumn id="6" name="תאריך עזיבה"/>
    <tableColumn id="7" name="היקף משרה"/>
  </tableColumns>
  <tableStyleInfo name="TableStyleMedium2" showRowStripes="1"/>
</table>
</file>

<file path=xl/tables/table4.xml><?xml version="1.0" encoding="utf-8"?>
<table xmlns="http://schemas.openxmlformats.org/spreadsheetml/2006/main" id="4" name="tblDepartment" displayName="tblDepartment" ref="A1:B5" headerRowCount="1">
  <autoFilter ref="A1:B5"/>
  <tableColumns count="2">
    <tableColumn id="1" name="מחלקה"/>
    <tableColumn id="2" name="שם מחלקה"/>
  </tableColumns>
  <tableStyleInfo name="TableStyleMedium2"/>
</table>
</file>

<file path=xl/tables/table5.xml><?xml version="1.0" encoding="utf-8"?>
<table xmlns="http://schemas.openxmlformats.org/spreadsheetml/2006/main" id="5" name="tblManagers" displayName="tblManagers" ref="A1:D5" headerRowCount="1">
  <autoFilter ref="A1:D5"/>
  <tableColumns count="4">
    <tableColumn id="1" name="מחלקה"/>
    <tableColumn id="2" name="שם מנהל"/>
    <tableColumn id="3" name="מייל"/>
    <tableColumn id="4" name="לשלוח"/>
  </tableColumns>
  <tableStyleInfo name="TableStyleMedium2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0" customWidth="1" min="5" max="5"/>
    <col width="10" customWidth="1" min="6" max="6"/>
  </cols>
  <sheetData>
    <row r="1">
      <c r="A1" s="1" t="inlineStr">
        <is>
          <t>דוח שכר ומצבה למחלקה</t>
        </is>
      </c>
    </row>
    <row r="2">
      <c r="A2" s="2" t="inlineStr">
        <is>
          <t>מספר מחלקה</t>
        </is>
      </c>
      <c r="B2" s="3" t="n">
        <v>10</v>
      </c>
    </row>
    <row r="3">
      <c r="A3" s="2" t="inlineStr">
        <is>
          <t>מחלקה</t>
        </is>
      </c>
      <c r="B3">
        <f>INDEX(tblDepartment[שם מחלקה],MATCH($B$2,tblDepartment[מחלקה],0))</f>
        <v/>
      </c>
    </row>
    <row r="4">
      <c r="A4" s="2" t="inlineStr">
        <is>
          <t>מנהל/ת</t>
        </is>
      </c>
      <c r="B4">
        <f>INDEX(tblManagers[שם מנהל],MATCH($B$2,tblManagers[מחלקה],0))</f>
        <v/>
      </c>
    </row>
    <row r="5">
      <c r="A5" s="2" t="inlineStr">
        <is>
          <t>תקופה</t>
        </is>
      </c>
      <c r="B5">
        <f>"ינואר עד "&amp;TEXT(DATE(ReportYear,ReportMonth,1),"mm/yyyy")</f>
        <v/>
      </c>
    </row>
    <row r="8">
      <c r="A8" s="4" t="inlineStr">
        <is>
          <t>חודש</t>
        </is>
      </c>
      <c r="B8" s="4" t="inlineStr">
        <is>
          <t>עלות מעביד</t>
        </is>
      </c>
      <c r="C8" s="4" t="inlineStr">
        <is>
          <t>תקציב שכר</t>
        </is>
      </c>
      <c r="D8" s="4" t="inlineStr">
        <is>
          <t>סטייה לטובה</t>
        </is>
      </c>
      <c r="E8" s="4" t="inlineStr">
        <is>
          <t>מצבה</t>
        </is>
      </c>
      <c r="F8" s="4" t="inlineStr">
        <is>
          <t>תקן</t>
        </is>
      </c>
    </row>
    <row r="9">
      <c r="A9" s="5">
        <f>IF(1&gt;ReportMonth,"",DATE(ReportYear,1,1))</f>
        <v/>
      </c>
      <c r="B9" s="6">
        <f>IF($A9="","",SUMIFS(tblPayroll[עלות מעביד],tblPayroll[מחלקה],$B$2,tblPayroll[חודש],$A9))</f>
        <v/>
      </c>
      <c r="C9" s="6">
        <f>IF($A9="","",SUMIFS(tblHeadcountPlan[תקציב עלות מעביד],tblHeadcountPlan[מחלקה],$B$2,tblHeadcountPlan[חודש],$A9))</f>
        <v/>
      </c>
      <c r="D9" s="6">
        <f>IF($A9="","",C9-B9)</f>
        <v/>
      </c>
      <c r="E9" s="7">
        <f>IF($A9="","",SUMPRODUCT((tblEmployees[מחלקה]=$B$2)*(tblEmployees[תאריך תחילה]&lt;=EOMONTH($A9,0))*(((tblEmployees[תאריך עזיבה]="")+(tblEmployees[תאריך עזיבה]&gt;=$A9))&gt;0)*tblEmployees[היקף משרה]))</f>
        <v/>
      </c>
      <c r="F9" s="7">
        <f>IF($A9="","",SUMIFS(tblHeadcountPlan[תקן],tblHeadcountPlan[מחלקה],$B$2,tblHeadcountPlan[חודש],$A9))</f>
        <v/>
      </c>
    </row>
    <row r="10">
      <c r="A10" s="5">
        <f>IF(2&gt;ReportMonth,"",DATE(ReportYear,2,1))</f>
        <v/>
      </c>
      <c r="B10" s="6">
        <f>IF($A10="","",SUMIFS(tblPayroll[עלות מעביד],tblPayroll[מחלקה],$B$2,tblPayroll[חודש],$A10))</f>
        <v/>
      </c>
      <c r="C10" s="6">
        <f>IF($A10="","",SUMIFS(tblHeadcountPlan[תקציב עלות מעביד],tblHeadcountPlan[מחלקה],$B$2,tblHeadcountPlan[חודש],$A10))</f>
        <v/>
      </c>
      <c r="D10" s="6">
        <f>IF($A10="","",C10-B10)</f>
        <v/>
      </c>
      <c r="E10" s="7">
        <f>IF($A10="","",SUMPRODUCT((tblEmployees[מחלקה]=$B$2)*(tblEmployees[תאריך תחילה]&lt;=EOMONTH($A10,0))*(((tblEmployees[תאריך עזיבה]="")+(tblEmployees[תאריך עזיבה]&gt;=$A10))&gt;0)*tblEmployees[היקף משרה]))</f>
        <v/>
      </c>
      <c r="F10" s="7">
        <f>IF($A10="","",SUMIFS(tblHeadcountPlan[תקן],tblHeadcountPlan[מחלקה],$B$2,tblHeadcountPlan[חודש],$A10))</f>
        <v/>
      </c>
    </row>
    <row r="11">
      <c r="A11" s="5">
        <f>IF(3&gt;ReportMonth,"",DATE(ReportYear,3,1))</f>
        <v/>
      </c>
      <c r="B11" s="6">
        <f>IF($A11="","",SUMIFS(tblPayroll[עלות מעביד],tblPayroll[מחלקה],$B$2,tblPayroll[חודש],$A11))</f>
        <v/>
      </c>
      <c r="C11" s="6">
        <f>IF($A11="","",SUMIFS(tblHeadcountPlan[תקציב עלות מעביד],tblHeadcountPlan[מחלקה],$B$2,tblHeadcountPlan[חודש],$A11))</f>
        <v/>
      </c>
      <c r="D11" s="6">
        <f>IF($A11="","",C11-B11)</f>
        <v/>
      </c>
      <c r="E11" s="7">
        <f>IF($A11="","",SUMPRODUCT((tblEmployees[מחלקה]=$B$2)*(tblEmployees[תאריך תחילה]&lt;=EOMONTH($A11,0))*(((tblEmployees[תאריך עזיבה]="")+(tblEmployees[תאריך עזיבה]&gt;=$A11))&gt;0)*tblEmployees[היקף משרה]))</f>
        <v/>
      </c>
      <c r="F11" s="7">
        <f>IF($A11="","",SUMIFS(tblHeadcountPlan[תקן],tblHeadcountPlan[מחלקה],$B$2,tblHeadcountPlan[חודש],$A11))</f>
        <v/>
      </c>
    </row>
    <row r="12">
      <c r="A12" s="5">
        <f>IF(4&gt;ReportMonth,"",DATE(ReportYear,4,1))</f>
        <v/>
      </c>
      <c r="B12" s="6">
        <f>IF($A12="","",SUMIFS(tblPayroll[עלות מעביד],tblPayroll[מחלקה],$B$2,tblPayroll[חודש],$A12))</f>
        <v/>
      </c>
      <c r="C12" s="6">
        <f>IF($A12="","",SUMIFS(tblHeadcountPlan[תקציב עלות מעביד],tblHeadcountPlan[מחלקה],$B$2,tblHeadcountPlan[חודש],$A12))</f>
        <v/>
      </c>
      <c r="D12" s="6">
        <f>IF($A12="","",C12-B12)</f>
        <v/>
      </c>
      <c r="E12" s="7">
        <f>IF($A12="","",SUMPRODUCT((tblEmployees[מחלקה]=$B$2)*(tblEmployees[תאריך תחילה]&lt;=EOMONTH($A12,0))*(((tblEmployees[תאריך עזיבה]="")+(tblEmployees[תאריך עזיבה]&gt;=$A12))&gt;0)*tblEmployees[היקף משרה]))</f>
        <v/>
      </c>
      <c r="F12" s="7">
        <f>IF($A12="","",SUMIFS(tblHeadcountPlan[תקן],tblHeadcountPlan[מחלקה],$B$2,tblHeadcountPlan[חודש],$A12))</f>
        <v/>
      </c>
    </row>
    <row r="13">
      <c r="A13" s="5">
        <f>IF(5&gt;ReportMonth,"",DATE(ReportYear,5,1))</f>
        <v/>
      </c>
      <c r="B13" s="6">
        <f>IF($A13="","",SUMIFS(tblPayroll[עלות מעביד],tblPayroll[מחלקה],$B$2,tblPayroll[חודש],$A13))</f>
        <v/>
      </c>
      <c r="C13" s="6">
        <f>IF($A13="","",SUMIFS(tblHeadcountPlan[תקציב עלות מעביד],tblHeadcountPlan[מחלקה],$B$2,tblHeadcountPlan[חודש],$A13))</f>
        <v/>
      </c>
      <c r="D13" s="6">
        <f>IF($A13="","",C13-B13)</f>
        <v/>
      </c>
      <c r="E13" s="7">
        <f>IF($A13="","",SUMPRODUCT((tblEmployees[מחלקה]=$B$2)*(tblEmployees[תאריך תחילה]&lt;=EOMONTH($A13,0))*(((tblEmployees[תאריך עזיבה]="")+(tblEmployees[תאריך עזיבה]&gt;=$A13))&gt;0)*tblEmployees[היקף משרה]))</f>
        <v/>
      </c>
      <c r="F13" s="7">
        <f>IF($A13="","",SUMIFS(tblHeadcountPlan[תקן],tblHeadcountPlan[מחלקה],$B$2,tblHeadcountPlan[חודש],$A13))</f>
        <v/>
      </c>
    </row>
    <row r="14">
      <c r="A14" s="5">
        <f>IF(6&gt;ReportMonth,"",DATE(ReportYear,6,1))</f>
        <v/>
      </c>
      <c r="B14" s="6">
        <f>IF($A14="","",SUMIFS(tblPayroll[עלות מעביד],tblPayroll[מחלקה],$B$2,tblPayroll[חודש],$A14))</f>
        <v/>
      </c>
      <c r="C14" s="6">
        <f>IF($A14="","",SUMIFS(tblHeadcountPlan[תקציב עלות מעביד],tblHeadcountPlan[מחלקה],$B$2,tblHeadcountPlan[חודש],$A14))</f>
        <v/>
      </c>
      <c r="D14" s="6">
        <f>IF($A14="","",C14-B14)</f>
        <v/>
      </c>
      <c r="E14" s="7">
        <f>IF($A14="","",SUMPRODUCT((tblEmployees[מחלקה]=$B$2)*(tblEmployees[תאריך תחילה]&lt;=EOMONTH($A14,0))*(((tblEmployees[תאריך עזיבה]="")+(tblEmployees[תאריך עזיבה]&gt;=$A14))&gt;0)*tblEmployees[היקף משרה]))</f>
        <v/>
      </c>
      <c r="F14" s="7">
        <f>IF($A14="","",SUMIFS(tblHeadcountPlan[תקן],tblHeadcountPlan[מחלקה],$B$2,tblHeadcountPlan[חודש],$A14))</f>
        <v/>
      </c>
    </row>
    <row r="15">
      <c r="A15" s="5">
        <f>IF(7&gt;ReportMonth,"",DATE(ReportYear,7,1))</f>
        <v/>
      </c>
      <c r="B15" s="6">
        <f>IF($A15="","",SUMIFS(tblPayroll[עלות מעביד],tblPayroll[מחלקה],$B$2,tblPayroll[חודש],$A15))</f>
        <v/>
      </c>
      <c r="C15" s="6">
        <f>IF($A15="","",SUMIFS(tblHeadcountPlan[תקציב עלות מעביד],tblHeadcountPlan[מחלקה],$B$2,tblHeadcountPlan[חודש],$A15))</f>
        <v/>
      </c>
      <c r="D15" s="6">
        <f>IF($A15="","",C15-B15)</f>
        <v/>
      </c>
      <c r="E15" s="7">
        <f>IF($A15="","",SUMPRODUCT((tblEmployees[מחלקה]=$B$2)*(tblEmployees[תאריך תחילה]&lt;=EOMONTH($A15,0))*(((tblEmployees[תאריך עזיבה]="")+(tblEmployees[תאריך עזיבה]&gt;=$A15))&gt;0)*tblEmployees[היקף משרה]))</f>
        <v/>
      </c>
      <c r="F15" s="7">
        <f>IF($A15="","",SUMIFS(tblHeadcountPlan[תקן],tblHeadcountPlan[מחלקה],$B$2,tblHeadcountPlan[חודש],$A15))</f>
        <v/>
      </c>
    </row>
    <row r="16">
      <c r="A16" s="5">
        <f>IF(8&gt;ReportMonth,"",DATE(ReportYear,8,1))</f>
        <v/>
      </c>
      <c r="B16" s="6">
        <f>IF($A16="","",SUMIFS(tblPayroll[עלות מעביד],tblPayroll[מחלקה],$B$2,tblPayroll[חודש],$A16))</f>
        <v/>
      </c>
      <c r="C16" s="6">
        <f>IF($A16="","",SUMIFS(tblHeadcountPlan[תקציב עלות מעביד],tblHeadcountPlan[מחלקה],$B$2,tblHeadcountPlan[חודש],$A16))</f>
        <v/>
      </c>
      <c r="D16" s="6">
        <f>IF($A16="","",C16-B16)</f>
        <v/>
      </c>
      <c r="E16" s="7">
        <f>IF($A16="","",SUMPRODUCT((tblEmployees[מחלקה]=$B$2)*(tblEmployees[תאריך תחילה]&lt;=EOMONTH($A16,0))*(((tblEmployees[תאריך עזיבה]="")+(tblEmployees[תאריך עזיבה]&gt;=$A16))&gt;0)*tblEmployees[היקף משרה]))</f>
        <v/>
      </c>
      <c r="F16" s="7">
        <f>IF($A16="","",SUMIFS(tblHeadcountPlan[תקן],tblHeadcountPlan[מחלקה],$B$2,tblHeadcountPlan[חודש],$A16))</f>
        <v/>
      </c>
    </row>
    <row r="17">
      <c r="A17" s="5">
        <f>IF(9&gt;ReportMonth,"",DATE(ReportYear,9,1))</f>
        <v/>
      </c>
      <c r="B17" s="6">
        <f>IF($A17="","",SUMIFS(tblPayroll[עלות מעביד],tblPayroll[מחלקה],$B$2,tblPayroll[חודש],$A17))</f>
        <v/>
      </c>
      <c r="C17" s="6">
        <f>IF($A17="","",SUMIFS(tblHeadcountPlan[תקציב עלות מעביד],tblHeadcountPlan[מחלקה],$B$2,tblHeadcountPlan[חודש],$A17))</f>
        <v/>
      </c>
      <c r="D17" s="6">
        <f>IF($A17="","",C17-B17)</f>
        <v/>
      </c>
      <c r="E17" s="7">
        <f>IF($A17="","",SUMPRODUCT((tblEmployees[מחלקה]=$B$2)*(tblEmployees[תאריך תחילה]&lt;=EOMONTH($A17,0))*(((tblEmployees[תאריך עזיבה]="")+(tblEmployees[תאריך עזיבה]&gt;=$A17))&gt;0)*tblEmployees[היקף משרה]))</f>
        <v/>
      </c>
      <c r="F17" s="7">
        <f>IF($A17="","",SUMIFS(tblHeadcountPlan[תקן],tblHeadcountPlan[מחלקה],$B$2,tblHeadcountPlan[חודש],$A17))</f>
        <v/>
      </c>
    </row>
    <row r="18">
      <c r="A18" s="5">
        <f>IF(10&gt;ReportMonth,"",DATE(ReportYear,10,1))</f>
        <v/>
      </c>
      <c r="B18" s="6">
        <f>IF($A18="","",SUMIFS(tblPayroll[עלות מעביד],tblPayroll[מחלקה],$B$2,tblPayroll[חודש],$A18))</f>
        <v/>
      </c>
      <c r="C18" s="6">
        <f>IF($A18="","",SUMIFS(tblHeadcountPlan[תקציב עלות מעביד],tblHeadcountPlan[מחלקה],$B$2,tblHeadcountPlan[חודש],$A18))</f>
        <v/>
      </c>
      <c r="D18" s="6">
        <f>IF($A18="","",C18-B18)</f>
        <v/>
      </c>
      <c r="E18" s="7">
        <f>IF($A18="","",SUMPRODUCT((tblEmployees[מחלקה]=$B$2)*(tblEmployees[תאריך תחילה]&lt;=EOMONTH($A18,0))*(((tblEmployees[תאריך עזיבה]="")+(tblEmployees[תאריך עזיבה]&gt;=$A18))&gt;0)*tblEmployees[היקף משרה]))</f>
        <v/>
      </c>
      <c r="F18" s="7">
        <f>IF($A18="","",SUMIFS(tblHeadcountPlan[תקן],tblHeadcountPlan[מחלקה],$B$2,tblHeadcountPlan[חודש],$A18))</f>
        <v/>
      </c>
    </row>
    <row r="19">
      <c r="A19" s="5">
        <f>IF(11&gt;ReportMonth,"",DATE(ReportYear,11,1))</f>
        <v/>
      </c>
      <c r="B19" s="6">
        <f>IF($A19="","",SUMIFS(tblPayroll[עלות מעביד],tblPayroll[מחלקה],$B$2,tblPayroll[חודש],$A19))</f>
        <v/>
      </c>
      <c r="C19" s="6">
        <f>IF($A19="","",SUMIFS(tblHeadcountPlan[תקציב עלות מעביד],tblHeadcountPlan[מחלקה],$B$2,tblHeadcountPlan[חודש],$A19))</f>
        <v/>
      </c>
      <c r="D19" s="6">
        <f>IF($A19="","",C19-B19)</f>
        <v/>
      </c>
      <c r="E19" s="7">
        <f>IF($A19="","",SUMPRODUCT((tblEmployees[מחלקה]=$B$2)*(tblEmployees[תאריך תחילה]&lt;=EOMONTH($A19,0))*(((tblEmployees[תאריך עזיבה]="")+(tblEmployees[תאריך עזיבה]&gt;=$A19))&gt;0)*tblEmployees[היקף משרה]))</f>
        <v/>
      </c>
      <c r="F19" s="7">
        <f>IF($A19="","",SUMIFS(tblHeadcountPlan[תקן],tblHeadcountPlan[מחלקה],$B$2,tblHeadcountPlan[חודש],$A19))</f>
        <v/>
      </c>
    </row>
    <row r="20">
      <c r="A20" s="5">
        <f>IF(12&gt;ReportMonth,"",DATE(ReportYear,12,1))</f>
        <v/>
      </c>
      <c r="B20" s="6">
        <f>IF($A20="","",SUMIFS(tblPayroll[עלות מעביד],tblPayroll[מחלקה],$B$2,tblPayroll[חודש],$A20))</f>
        <v/>
      </c>
      <c r="C20" s="6">
        <f>IF($A20="","",SUMIFS(tblHeadcountPlan[תקציב עלות מעביד],tblHeadcountPlan[מחלקה],$B$2,tblHeadcountPlan[חודש],$A20))</f>
        <v/>
      </c>
      <c r="D20" s="6">
        <f>IF($A20="","",C20-B20)</f>
        <v/>
      </c>
      <c r="E20" s="7">
        <f>IF($A20="","",SUMPRODUCT((tblEmployees[מחלקה]=$B$2)*(tblEmployees[תאריך תחילה]&lt;=EOMONTH($A20,0))*(((tblEmployees[תאריך עזיבה]="")+(tblEmployees[תאריך עזיבה]&gt;=$A20))&gt;0)*tblEmployees[היקף משרה]))</f>
        <v/>
      </c>
      <c r="F20" s="7">
        <f>IF($A20="","",SUMIFS(tblHeadcountPlan[תקן],tblHeadcountPlan[מחלקה],$B$2,tblHeadcountPlan[חודש],$A20))</f>
        <v/>
      </c>
    </row>
    <row r="22">
      <c r="A22" s="2" t="inlineStr">
        <is>
          <t>סה"כ</t>
        </is>
      </c>
      <c r="B22" s="8">
        <f>SUM(B9:B20)</f>
        <v/>
      </c>
      <c r="C22" s="8">
        <f>SUM(C9:C20)</f>
        <v/>
      </c>
      <c r="D22" s="8">
        <f>SUM(D9:D20)</f>
        <v/>
      </c>
      <c r="E22" s="9">
        <f>AVERAGE(E9:E20)</f>
        <v/>
      </c>
      <c r="F22" s="9">
        <f>AVERAGE(F9:F20)</f>
        <v/>
      </c>
    </row>
    <row r="24">
      <c r="A24" s="10" t="inlineStr">
        <is>
          <t>הדוח מציג סכומים למחלקה בלבד, בלי שכר של עובד בודד. סטייה לטובה חיובית = מתחת לתקציב.</t>
        </is>
      </c>
    </row>
  </sheetData>
  <dataValidations count="1">
    <dataValidation sqref="B2" showDropDown="0" showInputMessage="0" showErrorMessage="0" allowBlank="0" type="list">
      <formula1>=INDIRECT("tblDepartment[מחלקה]")</formula1>
    </dataValidation>
  </dataValidations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חודש</t>
        </is>
      </c>
      <c r="B1" t="inlineStr">
        <is>
          <t>מס עובד</t>
        </is>
      </c>
      <c r="C1" t="inlineStr">
        <is>
          <t>מחלקה</t>
        </is>
      </c>
      <c r="D1" t="inlineStr">
        <is>
          <t>שכר בסיס</t>
        </is>
      </c>
      <c r="E1" t="inlineStr">
        <is>
          <t>עמלות</t>
        </is>
      </c>
      <c r="F1" t="inlineStr">
        <is>
          <t>ברוטו</t>
        </is>
      </c>
      <c r="G1" t="inlineStr">
        <is>
          <t>ביטוח לאומי מעביד</t>
        </is>
      </c>
      <c r="H1" t="inlineStr">
        <is>
          <t>פנסיה מעביד</t>
        </is>
      </c>
      <c r="I1" t="inlineStr">
        <is>
          <t>פיצויים</t>
        </is>
      </c>
      <c r="J1" t="inlineStr">
        <is>
          <t>קרן השתלמות מעביד</t>
        </is>
      </c>
      <c r="K1" t="inlineStr">
        <is>
          <t>עלות מעביד</t>
        </is>
      </c>
    </row>
    <row r="2">
      <c r="A2" s="11" t="n">
        <v>45658</v>
      </c>
      <c r="B2" t="n">
        <v>101</v>
      </c>
      <c r="C2" t="n">
        <v>30</v>
      </c>
      <c r="D2" s="12" t="n">
        <v>13000</v>
      </c>
      <c r="E2" s="12" t="n">
        <v>0</v>
      </c>
      <c r="F2" s="12" t="n">
        <v>13000</v>
      </c>
      <c r="G2" s="12" t="n">
        <v>988</v>
      </c>
      <c r="H2" s="12" t="n">
        <v>845</v>
      </c>
      <c r="I2" s="12" t="n">
        <v>780</v>
      </c>
      <c r="J2" s="12" t="n">
        <v>975</v>
      </c>
      <c r="K2" s="12" t="n">
        <v>16588</v>
      </c>
    </row>
    <row r="3">
      <c r="A3" s="11" t="n">
        <v>45658</v>
      </c>
      <c r="B3" t="n">
        <v>102</v>
      </c>
      <c r="C3" t="n">
        <v>10</v>
      </c>
      <c r="D3" s="12" t="n">
        <v>12000</v>
      </c>
      <c r="E3" s="12" t="n">
        <v>4286.68</v>
      </c>
      <c r="F3" s="12" t="n">
        <v>16286.68</v>
      </c>
      <c r="G3" s="12" t="n">
        <v>1237.78</v>
      </c>
      <c r="H3" s="12" t="n">
        <v>1058.63</v>
      </c>
      <c r="I3" s="12" t="n">
        <v>977.2</v>
      </c>
      <c r="J3" s="12" t="n">
        <v>0</v>
      </c>
      <c r="K3" s="12" t="n">
        <v>19560.29</v>
      </c>
    </row>
    <row r="4">
      <c r="A4" s="11" t="n">
        <v>45658</v>
      </c>
      <c r="B4" t="n">
        <v>103</v>
      </c>
      <c r="C4" t="n">
        <v>10</v>
      </c>
      <c r="D4" s="12" t="n">
        <v>7500</v>
      </c>
      <c r="E4" s="12" t="n">
        <v>2857.79</v>
      </c>
      <c r="F4" s="12" t="n">
        <v>10357.79</v>
      </c>
      <c r="G4" s="12" t="n">
        <v>787.1900000000001</v>
      </c>
      <c r="H4" s="12" t="n">
        <v>673.26</v>
      </c>
      <c r="I4" s="12" t="n">
        <v>621.47</v>
      </c>
      <c r="J4" s="12" t="n">
        <v>0</v>
      </c>
      <c r="K4" s="12" t="n">
        <v>12439.71</v>
      </c>
    </row>
    <row r="5">
      <c r="A5" s="11" t="n">
        <v>45658</v>
      </c>
      <c r="B5" t="n">
        <v>104</v>
      </c>
      <c r="C5" t="n">
        <v>20</v>
      </c>
      <c r="D5" s="12" t="n">
        <v>7200</v>
      </c>
      <c r="E5" s="12" t="n">
        <v>0</v>
      </c>
      <c r="F5" s="12" t="n">
        <v>7200</v>
      </c>
      <c r="G5" s="12" t="n">
        <v>547.2</v>
      </c>
      <c r="H5" s="12" t="n">
        <v>468</v>
      </c>
      <c r="I5" s="12" t="n">
        <v>432</v>
      </c>
      <c r="J5" s="12" t="n">
        <v>0</v>
      </c>
      <c r="K5" s="12" t="n">
        <v>8647.200000000001</v>
      </c>
    </row>
    <row r="6">
      <c r="A6" s="11" t="n">
        <v>45658</v>
      </c>
      <c r="B6" t="n">
        <v>105</v>
      </c>
      <c r="C6" t="n">
        <v>40</v>
      </c>
      <c r="D6" s="12" t="n">
        <v>4800</v>
      </c>
      <c r="E6" s="12" t="n">
        <v>0</v>
      </c>
      <c r="F6" s="12" t="n">
        <v>4800</v>
      </c>
      <c r="G6" s="12" t="n">
        <v>364.8</v>
      </c>
      <c r="H6" s="12" t="n">
        <v>312</v>
      </c>
      <c r="I6" s="12" t="n">
        <v>288</v>
      </c>
      <c r="J6" s="12" t="n">
        <v>0</v>
      </c>
      <c r="K6" s="12" t="n">
        <v>5764.8</v>
      </c>
    </row>
    <row r="7">
      <c r="A7" s="11" t="n">
        <v>45689</v>
      </c>
      <c r="B7" t="n">
        <v>101</v>
      </c>
      <c r="C7" t="n">
        <v>30</v>
      </c>
      <c r="D7" s="12" t="n">
        <v>13000</v>
      </c>
      <c r="E7" s="12" t="n">
        <v>0</v>
      </c>
      <c r="F7" s="12" t="n">
        <v>13000</v>
      </c>
      <c r="G7" s="12" t="n">
        <v>988</v>
      </c>
      <c r="H7" s="12" t="n">
        <v>845</v>
      </c>
      <c r="I7" s="12" t="n">
        <v>780</v>
      </c>
      <c r="J7" s="12" t="n">
        <v>975</v>
      </c>
      <c r="K7" s="12" t="n">
        <v>16588</v>
      </c>
    </row>
    <row r="8">
      <c r="A8" s="11" t="n">
        <v>45689</v>
      </c>
      <c r="B8" t="n">
        <v>102</v>
      </c>
      <c r="C8" t="n">
        <v>10</v>
      </c>
      <c r="D8" s="12" t="n">
        <v>12000</v>
      </c>
      <c r="E8" s="12" t="n">
        <v>3936.97</v>
      </c>
      <c r="F8" s="12" t="n">
        <v>15936.97</v>
      </c>
      <c r="G8" s="12" t="n">
        <v>1211.21</v>
      </c>
      <c r="H8" s="12" t="n">
        <v>1035.9</v>
      </c>
      <c r="I8" s="12" t="n">
        <v>956.22</v>
      </c>
      <c r="J8" s="12" t="n">
        <v>0</v>
      </c>
      <c r="K8" s="12" t="n">
        <v>19140.3</v>
      </c>
    </row>
    <row r="9">
      <c r="A9" s="11" t="n">
        <v>45689</v>
      </c>
      <c r="B9" t="n">
        <v>103</v>
      </c>
      <c r="C9" t="n">
        <v>10</v>
      </c>
      <c r="D9" s="12" t="n">
        <v>7500</v>
      </c>
      <c r="E9" s="12" t="n">
        <v>2624.65</v>
      </c>
      <c r="F9" s="12" t="n">
        <v>10124.65</v>
      </c>
      <c r="G9" s="12" t="n">
        <v>769.47</v>
      </c>
      <c r="H9" s="12" t="n">
        <v>658.1</v>
      </c>
      <c r="I9" s="12" t="n">
        <v>607.48</v>
      </c>
      <c r="J9" s="12" t="n">
        <v>0</v>
      </c>
      <c r="K9" s="12" t="n">
        <v>12159.7</v>
      </c>
    </row>
    <row r="10">
      <c r="A10" s="11" t="n">
        <v>45689</v>
      </c>
      <c r="B10" t="n">
        <v>104</v>
      </c>
      <c r="C10" t="n">
        <v>20</v>
      </c>
      <c r="D10" s="12" t="n">
        <v>7200</v>
      </c>
      <c r="E10" s="12" t="n">
        <v>0</v>
      </c>
      <c r="F10" s="12" t="n">
        <v>7200</v>
      </c>
      <c r="G10" s="12" t="n">
        <v>547.2</v>
      </c>
      <c r="H10" s="12" t="n">
        <v>468</v>
      </c>
      <c r="I10" s="12" t="n">
        <v>432</v>
      </c>
      <c r="J10" s="12" t="n">
        <v>0</v>
      </c>
      <c r="K10" s="12" t="n">
        <v>8647.200000000001</v>
      </c>
    </row>
    <row r="11">
      <c r="A11" s="11" t="n">
        <v>45689</v>
      </c>
      <c r="B11" t="n">
        <v>105</v>
      </c>
      <c r="C11" t="n">
        <v>40</v>
      </c>
      <c r="D11" s="12" t="n">
        <v>4800</v>
      </c>
      <c r="E11" s="12" t="n">
        <v>0</v>
      </c>
      <c r="F11" s="12" t="n">
        <v>4800</v>
      </c>
      <c r="G11" s="12" t="n">
        <v>364.8</v>
      </c>
      <c r="H11" s="12" t="n">
        <v>312</v>
      </c>
      <c r="I11" s="12" t="n">
        <v>288</v>
      </c>
      <c r="J11" s="12" t="n">
        <v>0</v>
      </c>
      <c r="K11" s="12" t="n">
        <v>5764.8</v>
      </c>
    </row>
    <row r="12">
      <c r="A12" s="11" t="n">
        <v>45717</v>
      </c>
      <c r="B12" t="n">
        <v>101</v>
      </c>
      <c r="C12" t="n">
        <v>30</v>
      </c>
      <c r="D12" s="12" t="n">
        <v>13000</v>
      </c>
      <c r="E12" s="12" t="n">
        <v>0</v>
      </c>
      <c r="F12" s="12" t="n">
        <v>13000</v>
      </c>
      <c r="G12" s="12" t="n">
        <v>988</v>
      </c>
      <c r="H12" s="12" t="n">
        <v>845</v>
      </c>
      <c r="I12" s="12" t="n">
        <v>780</v>
      </c>
      <c r="J12" s="12" t="n">
        <v>975</v>
      </c>
      <c r="K12" s="12" t="n">
        <v>16588</v>
      </c>
    </row>
    <row r="13">
      <c r="A13" s="11" t="n">
        <v>45717</v>
      </c>
      <c r="B13" t="n">
        <v>102</v>
      </c>
      <c r="C13" t="n">
        <v>10</v>
      </c>
      <c r="D13" s="12" t="n">
        <v>12000</v>
      </c>
      <c r="E13" s="12" t="n">
        <v>1988.59</v>
      </c>
      <c r="F13" s="12" t="n">
        <v>13988.59</v>
      </c>
      <c r="G13" s="12" t="n">
        <v>1063.13</v>
      </c>
      <c r="H13" s="12" t="n">
        <v>909.26</v>
      </c>
      <c r="I13" s="12" t="n">
        <v>839.3200000000001</v>
      </c>
      <c r="J13" s="12" t="n">
        <v>0</v>
      </c>
      <c r="K13" s="12" t="n">
        <v>16800.3</v>
      </c>
    </row>
    <row r="14">
      <c r="A14" s="11" t="n">
        <v>45717</v>
      </c>
      <c r="B14" t="n">
        <v>103</v>
      </c>
      <c r="C14" t="n">
        <v>10</v>
      </c>
      <c r="D14" s="12" t="n">
        <v>7500</v>
      </c>
      <c r="E14" s="12" t="n">
        <v>1325.73</v>
      </c>
      <c r="F14" s="12" t="n">
        <v>8825.73</v>
      </c>
      <c r="G14" s="12" t="n">
        <v>670.76</v>
      </c>
      <c r="H14" s="12" t="n">
        <v>573.67</v>
      </c>
      <c r="I14" s="12" t="n">
        <v>529.54</v>
      </c>
      <c r="J14" s="12" t="n">
        <v>0</v>
      </c>
      <c r="K14" s="12" t="n">
        <v>10599.7</v>
      </c>
    </row>
    <row r="15">
      <c r="A15" s="11" t="n">
        <v>45717</v>
      </c>
      <c r="B15" t="n">
        <v>104</v>
      </c>
      <c r="C15" t="n">
        <v>20</v>
      </c>
      <c r="D15" s="12" t="n">
        <v>7200</v>
      </c>
      <c r="E15" s="12" t="n">
        <v>0</v>
      </c>
      <c r="F15" s="12" t="n">
        <v>7200</v>
      </c>
      <c r="G15" s="12" t="n">
        <v>547.2</v>
      </c>
      <c r="H15" s="12" t="n">
        <v>468</v>
      </c>
      <c r="I15" s="12" t="n">
        <v>432</v>
      </c>
      <c r="J15" s="12" t="n">
        <v>0</v>
      </c>
      <c r="K15" s="12" t="n">
        <v>8647.200000000001</v>
      </c>
    </row>
    <row r="16">
      <c r="A16" s="11" t="n">
        <v>45717</v>
      </c>
      <c r="B16" t="n">
        <v>105</v>
      </c>
      <c r="C16" t="n">
        <v>40</v>
      </c>
      <c r="D16" s="12" t="n">
        <v>4800</v>
      </c>
      <c r="E16" s="12" t="n">
        <v>0</v>
      </c>
      <c r="F16" s="12" t="n">
        <v>4800</v>
      </c>
      <c r="G16" s="12" t="n">
        <v>364.8</v>
      </c>
      <c r="H16" s="12" t="n">
        <v>312</v>
      </c>
      <c r="I16" s="12" t="n">
        <v>288</v>
      </c>
      <c r="J16" s="12" t="n">
        <v>0</v>
      </c>
      <c r="K16" s="12" t="n">
        <v>5764.8</v>
      </c>
    </row>
    <row r="17">
      <c r="A17" s="11" t="n">
        <v>45748</v>
      </c>
      <c r="B17" t="n">
        <v>101</v>
      </c>
      <c r="C17" t="n">
        <v>30</v>
      </c>
      <c r="D17" s="12" t="n">
        <v>13000</v>
      </c>
      <c r="E17" s="12" t="n">
        <v>0</v>
      </c>
      <c r="F17" s="12" t="n">
        <v>13000</v>
      </c>
      <c r="G17" s="12" t="n">
        <v>988</v>
      </c>
      <c r="H17" s="12" t="n">
        <v>845</v>
      </c>
      <c r="I17" s="12" t="n">
        <v>780</v>
      </c>
      <c r="J17" s="12" t="n">
        <v>975</v>
      </c>
      <c r="K17" s="12" t="n">
        <v>16588</v>
      </c>
    </row>
    <row r="18">
      <c r="A18" s="11" t="n">
        <v>45748</v>
      </c>
      <c r="B18" t="n">
        <v>102</v>
      </c>
      <c r="C18" t="n">
        <v>10</v>
      </c>
      <c r="D18" s="12" t="n">
        <v>12000</v>
      </c>
      <c r="E18" s="12" t="n">
        <v>2088.51</v>
      </c>
      <c r="F18" s="12" t="n">
        <v>14088.51</v>
      </c>
      <c r="G18" s="12" t="n">
        <v>1070.73</v>
      </c>
      <c r="H18" s="12" t="n">
        <v>915.75</v>
      </c>
      <c r="I18" s="12" t="n">
        <v>845.3099999999999</v>
      </c>
      <c r="J18" s="12" t="n">
        <v>0</v>
      </c>
      <c r="K18" s="12" t="n">
        <v>16920.3</v>
      </c>
    </row>
    <row r="19">
      <c r="A19" s="11" t="n">
        <v>45748</v>
      </c>
      <c r="B19" t="n">
        <v>103</v>
      </c>
      <c r="C19" t="n">
        <v>10</v>
      </c>
      <c r="D19" s="12" t="n">
        <v>7500</v>
      </c>
      <c r="E19" s="12" t="n">
        <v>1392.34</v>
      </c>
      <c r="F19" s="12" t="n">
        <v>8892.34</v>
      </c>
      <c r="G19" s="12" t="n">
        <v>675.8200000000001</v>
      </c>
      <c r="H19" s="12" t="n">
        <v>578</v>
      </c>
      <c r="I19" s="12" t="n">
        <v>533.54</v>
      </c>
      <c r="J19" s="12" t="n">
        <v>0</v>
      </c>
      <c r="K19" s="12" t="n">
        <v>10679.7</v>
      </c>
    </row>
    <row r="20">
      <c r="A20" s="11" t="n">
        <v>45748</v>
      </c>
      <c r="B20" t="n">
        <v>104</v>
      </c>
      <c r="C20" t="n">
        <v>20</v>
      </c>
      <c r="D20" s="12" t="n">
        <v>7200</v>
      </c>
      <c r="E20" s="12" t="n">
        <v>0</v>
      </c>
      <c r="F20" s="12" t="n">
        <v>7200</v>
      </c>
      <c r="G20" s="12" t="n">
        <v>547.2</v>
      </c>
      <c r="H20" s="12" t="n">
        <v>468</v>
      </c>
      <c r="I20" s="12" t="n">
        <v>432</v>
      </c>
      <c r="J20" s="12" t="n">
        <v>0</v>
      </c>
      <c r="K20" s="12" t="n">
        <v>8647.200000000001</v>
      </c>
    </row>
    <row r="21">
      <c r="A21" s="11" t="n">
        <v>45748</v>
      </c>
      <c r="B21" t="n">
        <v>105</v>
      </c>
      <c r="C21" t="n">
        <v>40</v>
      </c>
      <c r="D21" s="12" t="n">
        <v>4800</v>
      </c>
      <c r="E21" s="12" t="n">
        <v>0</v>
      </c>
      <c r="F21" s="12" t="n">
        <v>4800</v>
      </c>
      <c r="G21" s="12" t="n">
        <v>364.8</v>
      </c>
      <c r="H21" s="12" t="n">
        <v>312</v>
      </c>
      <c r="I21" s="12" t="n">
        <v>288</v>
      </c>
      <c r="J21" s="12" t="n">
        <v>0</v>
      </c>
      <c r="K21" s="12" t="n">
        <v>5764.8</v>
      </c>
    </row>
    <row r="22">
      <c r="A22" s="11" t="n">
        <v>45778</v>
      </c>
      <c r="B22" t="n">
        <v>101</v>
      </c>
      <c r="C22" t="n">
        <v>30</v>
      </c>
      <c r="D22" s="12" t="n">
        <v>13000</v>
      </c>
      <c r="E22" s="12" t="n">
        <v>0</v>
      </c>
      <c r="F22" s="12" t="n">
        <v>13000</v>
      </c>
      <c r="G22" s="12" t="n">
        <v>988</v>
      </c>
      <c r="H22" s="12" t="n">
        <v>845</v>
      </c>
      <c r="I22" s="12" t="n">
        <v>780</v>
      </c>
      <c r="J22" s="12" t="n">
        <v>975</v>
      </c>
      <c r="K22" s="12" t="n">
        <v>16588</v>
      </c>
    </row>
    <row r="23">
      <c r="A23" s="11" t="n">
        <v>45778</v>
      </c>
      <c r="B23" t="n">
        <v>102</v>
      </c>
      <c r="C23" t="n">
        <v>10</v>
      </c>
      <c r="D23" s="12" t="n">
        <v>12000</v>
      </c>
      <c r="E23" s="12" t="n">
        <v>2837.89</v>
      </c>
      <c r="F23" s="12" t="n">
        <v>14837.89</v>
      </c>
      <c r="G23" s="12" t="n">
        <v>1127.68</v>
      </c>
      <c r="H23" s="12" t="n">
        <v>964.46</v>
      </c>
      <c r="I23" s="12" t="n">
        <v>890.27</v>
      </c>
      <c r="J23" s="12" t="n">
        <v>0</v>
      </c>
      <c r="K23" s="12" t="n">
        <v>17820.3</v>
      </c>
    </row>
    <row r="24">
      <c r="A24" s="11" t="n">
        <v>45778</v>
      </c>
      <c r="B24" t="n">
        <v>103</v>
      </c>
      <c r="C24" t="n">
        <v>10</v>
      </c>
      <c r="D24" s="12" t="n">
        <v>7500</v>
      </c>
      <c r="E24" s="12" t="n">
        <v>1891.92</v>
      </c>
      <c r="F24" s="12" t="n">
        <v>9391.92</v>
      </c>
      <c r="G24" s="12" t="n">
        <v>713.79</v>
      </c>
      <c r="H24" s="12" t="n">
        <v>610.47</v>
      </c>
      <c r="I24" s="12" t="n">
        <v>563.52</v>
      </c>
      <c r="J24" s="12" t="n">
        <v>0</v>
      </c>
      <c r="K24" s="12" t="n">
        <v>11279.7</v>
      </c>
    </row>
    <row r="25">
      <c r="A25" s="11" t="n">
        <v>45778</v>
      </c>
      <c r="B25" t="n">
        <v>104</v>
      </c>
      <c r="C25" t="n">
        <v>20</v>
      </c>
      <c r="D25" s="12" t="n">
        <v>7200</v>
      </c>
      <c r="E25" s="12" t="n">
        <v>0</v>
      </c>
      <c r="F25" s="12" t="n">
        <v>7200</v>
      </c>
      <c r="G25" s="12" t="n">
        <v>547.2</v>
      </c>
      <c r="H25" s="12" t="n">
        <v>468</v>
      </c>
      <c r="I25" s="12" t="n">
        <v>432</v>
      </c>
      <c r="J25" s="12" t="n">
        <v>0</v>
      </c>
      <c r="K25" s="12" t="n">
        <v>8647.200000000001</v>
      </c>
    </row>
    <row r="26">
      <c r="A26" s="11" t="n">
        <v>45778</v>
      </c>
      <c r="B26" t="n">
        <v>105</v>
      </c>
      <c r="C26" t="n">
        <v>40</v>
      </c>
      <c r="D26" s="12" t="n">
        <v>4800</v>
      </c>
      <c r="E26" s="12" t="n">
        <v>0</v>
      </c>
      <c r="F26" s="12" t="n">
        <v>4800</v>
      </c>
      <c r="G26" s="12" t="n">
        <v>364.8</v>
      </c>
      <c r="H26" s="12" t="n">
        <v>312</v>
      </c>
      <c r="I26" s="12" t="n">
        <v>288</v>
      </c>
      <c r="J26" s="12" t="n">
        <v>0</v>
      </c>
      <c r="K26" s="12" t="n">
        <v>5764.8</v>
      </c>
    </row>
    <row r="27">
      <c r="A27" s="11" t="n">
        <v>45809</v>
      </c>
      <c r="B27" t="n">
        <v>101</v>
      </c>
      <c r="C27" t="n">
        <v>30</v>
      </c>
      <c r="D27" s="12" t="n">
        <v>13000</v>
      </c>
      <c r="E27" s="12" t="n">
        <v>0</v>
      </c>
      <c r="F27" s="12" t="n">
        <v>13000</v>
      </c>
      <c r="G27" s="12" t="n">
        <v>988</v>
      </c>
      <c r="H27" s="12" t="n">
        <v>845</v>
      </c>
      <c r="I27" s="12" t="n">
        <v>780</v>
      </c>
      <c r="J27" s="12" t="n">
        <v>975</v>
      </c>
      <c r="K27" s="12" t="n">
        <v>16588</v>
      </c>
    </row>
    <row r="28">
      <c r="A28" s="11" t="n">
        <v>45809</v>
      </c>
      <c r="B28" t="n">
        <v>102</v>
      </c>
      <c r="C28" t="n">
        <v>10</v>
      </c>
      <c r="D28" s="12" t="n">
        <v>12000</v>
      </c>
      <c r="E28" s="12" t="n">
        <v>5685.51</v>
      </c>
      <c r="F28" s="12" t="n">
        <v>17685.51</v>
      </c>
      <c r="G28" s="12" t="n">
        <v>1344.1</v>
      </c>
      <c r="H28" s="12" t="n">
        <v>1149.56</v>
      </c>
      <c r="I28" s="12" t="n">
        <v>1061.13</v>
      </c>
      <c r="J28" s="12" t="n">
        <v>0</v>
      </c>
      <c r="K28" s="12" t="n">
        <v>21240.3</v>
      </c>
    </row>
    <row r="29">
      <c r="A29" s="11" t="n">
        <v>45809</v>
      </c>
      <c r="B29" t="n">
        <v>103</v>
      </c>
      <c r="C29" t="n">
        <v>10</v>
      </c>
      <c r="D29" s="12" t="n">
        <v>7500</v>
      </c>
      <c r="E29" s="12" t="n">
        <v>3790.34</v>
      </c>
      <c r="F29" s="12" t="n">
        <v>11290.34</v>
      </c>
      <c r="G29" s="12" t="n">
        <v>858.0700000000001</v>
      </c>
      <c r="H29" s="12" t="n">
        <v>733.87</v>
      </c>
      <c r="I29" s="12" t="n">
        <v>677.42</v>
      </c>
      <c r="J29" s="12" t="n">
        <v>0</v>
      </c>
      <c r="K29" s="12" t="n">
        <v>13559.7</v>
      </c>
    </row>
    <row r="30">
      <c r="A30" s="11" t="n">
        <v>45809</v>
      </c>
      <c r="B30" t="n">
        <v>104</v>
      </c>
      <c r="C30" t="n">
        <v>20</v>
      </c>
      <c r="D30" s="12" t="n">
        <v>7200</v>
      </c>
      <c r="E30" s="12" t="n">
        <v>0</v>
      </c>
      <c r="F30" s="12" t="n">
        <v>7200</v>
      </c>
      <c r="G30" s="12" t="n">
        <v>547.2</v>
      </c>
      <c r="H30" s="12" t="n">
        <v>468</v>
      </c>
      <c r="I30" s="12" t="n">
        <v>432</v>
      </c>
      <c r="J30" s="12" t="n">
        <v>0</v>
      </c>
      <c r="K30" s="12" t="n">
        <v>8647.200000000001</v>
      </c>
    </row>
    <row r="31">
      <c r="A31" s="11" t="n">
        <v>45809</v>
      </c>
      <c r="B31" t="n">
        <v>105</v>
      </c>
      <c r="C31" t="n">
        <v>40</v>
      </c>
      <c r="D31" s="12" t="n">
        <v>4800</v>
      </c>
      <c r="E31" s="12" t="n">
        <v>0</v>
      </c>
      <c r="F31" s="12" t="n">
        <v>4800</v>
      </c>
      <c r="G31" s="12" t="n">
        <v>364.8</v>
      </c>
      <c r="H31" s="12" t="n">
        <v>312</v>
      </c>
      <c r="I31" s="12" t="n">
        <v>288</v>
      </c>
      <c r="J31" s="12" t="n">
        <v>0</v>
      </c>
      <c r="K31" s="12" t="n">
        <v>5764.8</v>
      </c>
    </row>
    <row r="32">
      <c r="A32" s="11" t="n">
        <v>45839</v>
      </c>
      <c r="B32" t="n">
        <v>101</v>
      </c>
      <c r="C32" t="n">
        <v>30</v>
      </c>
      <c r="D32" s="12" t="n">
        <v>13000</v>
      </c>
      <c r="E32" s="12" t="n">
        <v>0</v>
      </c>
      <c r="F32" s="12" t="n">
        <v>13000</v>
      </c>
      <c r="G32" s="12" t="n">
        <v>988</v>
      </c>
      <c r="H32" s="12" t="n">
        <v>845</v>
      </c>
      <c r="I32" s="12" t="n">
        <v>780</v>
      </c>
      <c r="J32" s="12" t="n">
        <v>975</v>
      </c>
      <c r="K32" s="12" t="n">
        <v>16588</v>
      </c>
    </row>
    <row r="33">
      <c r="A33" s="11" t="n">
        <v>45839</v>
      </c>
      <c r="B33" t="n">
        <v>102</v>
      </c>
      <c r="C33" t="n">
        <v>10</v>
      </c>
      <c r="D33" s="12" t="n">
        <v>12000</v>
      </c>
      <c r="E33" s="12" t="n">
        <v>4186.76</v>
      </c>
      <c r="F33" s="12" t="n">
        <v>16186.76</v>
      </c>
      <c r="G33" s="12" t="n">
        <v>1230.19</v>
      </c>
      <c r="H33" s="12" t="n">
        <v>1052.14</v>
      </c>
      <c r="I33" s="12" t="n">
        <v>971.21</v>
      </c>
      <c r="J33" s="12" t="n">
        <v>0</v>
      </c>
      <c r="K33" s="12" t="n">
        <v>19440.3</v>
      </c>
    </row>
    <row r="34">
      <c r="A34" s="11" t="n">
        <v>45839</v>
      </c>
      <c r="B34" t="n">
        <v>103</v>
      </c>
      <c r="C34" t="n">
        <v>10</v>
      </c>
      <c r="D34" s="12" t="n">
        <v>7500</v>
      </c>
      <c r="E34" s="12" t="n">
        <v>2791.17</v>
      </c>
      <c r="F34" s="12" t="n">
        <v>10291.17</v>
      </c>
      <c r="G34" s="12" t="n">
        <v>782.13</v>
      </c>
      <c r="H34" s="12" t="n">
        <v>668.9299999999999</v>
      </c>
      <c r="I34" s="12" t="n">
        <v>617.47</v>
      </c>
      <c r="J34" s="12" t="n">
        <v>0</v>
      </c>
      <c r="K34" s="12" t="n">
        <v>12359.7</v>
      </c>
    </row>
    <row r="35">
      <c r="A35" s="11" t="n">
        <v>45839</v>
      </c>
      <c r="B35" t="n">
        <v>104</v>
      </c>
      <c r="C35" t="n">
        <v>20</v>
      </c>
      <c r="D35" s="12" t="n">
        <v>7200</v>
      </c>
      <c r="E35" s="12" t="n">
        <v>0</v>
      </c>
      <c r="F35" s="12" t="n">
        <v>7200</v>
      </c>
      <c r="G35" s="12" t="n">
        <v>547.2</v>
      </c>
      <c r="H35" s="12" t="n">
        <v>468</v>
      </c>
      <c r="I35" s="12" t="n">
        <v>432</v>
      </c>
      <c r="J35" s="12" t="n">
        <v>0</v>
      </c>
      <c r="K35" s="12" t="n">
        <v>8647.200000000001</v>
      </c>
    </row>
    <row r="36">
      <c r="A36" s="11" t="n">
        <v>45839</v>
      </c>
      <c r="B36" t="n">
        <v>105</v>
      </c>
      <c r="C36" t="n">
        <v>40</v>
      </c>
      <c r="D36" s="12" t="n">
        <v>4800</v>
      </c>
      <c r="E36" s="12" t="n">
        <v>0</v>
      </c>
      <c r="F36" s="12" t="n">
        <v>4800</v>
      </c>
      <c r="G36" s="12" t="n">
        <v>364.8</v>
      </c>
      <c r="H36" s="12" t="n">
        <v>312</v>
      </c>
      <c r="I36" s="12" t="n">
        <v>288</v>
      </c>
      <c r="J36" s="12" t="n">
        <v>0</v>
      </c>
      <c r="K36" s="12" t="n">
        <v>5764.8</v>
      </c>
    </row>
    <row r="37">
      <c r="A37" s="11" t="n">
        <v>45870</v>
      </c>
      <c r="B37" t="n">
        <v>101</v>
      </c>
      <c r="C37" t="n">
        <v>30</v>
      </c>
      <c r="D37" s="12" t="n">
        <v>13000</v>
      </c>
      <c r="E37" s="12" t="n">
        <v>0</v>
      </c>
      <c r="F37" s="12" t="n">
        <v>13000</v>
      </c>
      <c r="G37" s="12" t="n">
        <v>988</v>
      </c>
      <c r="H37" s="12" t="n">
        <v>845</v>
      </c>
      <c r="I37" s="12" t="n">
        <v>780</v>
      </c>
      <c r="J37" s="12" t="n">
        <v>975</v>
      </c>
      <c r="K37" s="12" t="n">
        <v>16588</v>
      </c>
    </row>
    <row r="38">
      <c r="A38" s="11" t="n">
        <v>45870</v>
      </c>
      <c r="B38" t="n">
        <v>102</v>
      </c>
      <c r="C38" t="n">
        <v>10</v>
      </c>
      <c r="D38" s="12" t="n">
        <v>12000</v>
      </c>
      <c r="E38" s="12" t="n">
        <v>7144.46</v>
      </c>
      <c r="F38" s="12" t="n">
        <v>19144.46</v>
      </c>
      <c r="G38" s="12" t="n">
        <v>1454.98</v>
      </c>
      <c r="H38" s="12" t="n">
        <v>1244.39</v>
      </c>
      <c r="I38" s="12" t="n">
        <v>1148.67</v>
      </c>
      <c r="J38" s="12" t="n">
        <v>0</v>
      </c>
      <c r="K38" s="12" t="n">
        <v>22992.5</v>
      </c>
    </row>
    <row r="39">
      <c r="A39" s="11" t="n">
        <v>45870</v>
      </c>
      <c r="B39" t="n">
        <v>103</v>
      </c>
      <c r="C39" t="n">
        <v>10</v>
      </c>
      <c r="D39" s="12" t="n">
        <v>7500</v>
      </c>
      <c r="E39" s="12" t="n">
        <v>0</v>
      </c>
      <c r="F39" s="12" t="n">
        <v>7500</v>
      </c>
      <c r="G39" s="12" t="n">
        <v>570</v>
      </c>
      <c r="H39" s="12" t="n">
        <v>487.5</v>
      </c>
      <c r="I39" s="12" t="n">
        <v>450</v>
      </c>
      <c r="J39" s="12" t="n">
        <v>0</v>
      </c>
      <c r="K39" s="12" t="n">
        <v>9007.5</v>
      </c>
    </row>
    <row r="40">
      <c r="A40" s="11" t="n">
        <v>45870</v>
      </c>
      <c r="B40" t="n">
        <v>104</v>
      </c>
      <c r="C40" t="n">
        <v>20</v>
      </c>
      <c r="D40" s="12" t="n">
        <v>7200</v>
      </c>
      <c r="E40" s="12" t="n">
        <v>0</v>
      </c>
      <c r="F40" s="12" t="n">
        <v>7200</v>
      </c>
      <c r="G40" s="12" t="n">
        <v>547.2</v>
      </c>
      <c r="H40" s="12" t="n">
        <v>468</v>
      </c>
      <c r="I40" s="12" t="n">
        <v>432</v>
      </c>
      <c r="J40" s="12" t="n">
        <v>0</v>
      </c>
      <c r="K40" s="12" t="n">
        <v>8647.200000000001</v>
      </c>
    </row>
    <row r="41">
      <c r="A41" s="11" t="n">
        <v>45870</v>
      </c>
      <c r="B41" t="n">
        <v>105</v>
      </c>
      <c r="C41" t="n">
        <v>40</v>
      </c>
      <c r="D41" s="12" t="n">
        <v>4800</v>
      </c>
      <c r="E41" s="12" t="n">
        <v>0</v>
      </c>
      <c r="F41" s="12" t="n">
        <v>4800</v>
      </c>
      <c r="G41" s="12" t="n">
        <v>364.8</v>
      </c>
      <c r="H41" s="12" t="n">
        <v>312</v>
      </c>
      <c r="I41" s="12" t="n">
        <v>288</v>
      </c>
      <c r="J41" s="12" t="n">
        <v>0</v>
      </c>
      <c r="K41" s="12" t="n">
        <v>5764.8</v>
      </c>
    </row>
    <row r="42">
      <c r="A42" s="11" t="n">
        <v>45901</v>
      </c>
      <c r="B42" t="n">
        <v>101</v>
      </c>
      <c r="C42" t="n">
        <v>30</v>
      </c>
      <c r="D42" s="12" t="n">
        <v>13000</v>
      </c>
      <c r="E42" s="12" t="n">
        <v>0</v>
      </c>
      <c r="F42" s="12" t="n">
        <v>13000</v>
      </c>
      <c r="G42" s="12" t="n">
        <v>988</v>
      </c>
      <c r="H42" s="12" t="n">
        <v>845</v>
      </c>
      <c r="I42" s="12" t="n">
        <v>780</v>
      </c>
      <c r="J42" s="12" t="n">
        <v>975</v>
      </c>
      <c r="K42" s="12" t="n">
        <v>16588</v>
      </c>
    </row>
    <row r="43">
      <c r="A43" s="11" t="n">
        <v>45901</v>
      </c>
      <c r="B43" t="n">
        <v>102</v>
      </c>
      <c r="C43" t="n">
        <v>10</v>
      </c>
      <c r="D43" s="12" t="n">
        <v>12000</v>
      </c>
      <c r="E43" s="12" t="n">
        <v>15726.89</v>
      </c>
      <c r="F43" s="12" t="n">
        <v>27726.89</v>
      </c>
      <c r="G43" s="12" t="n">
        <v>2107.25</v>
      </c>
      <c r="H43" s="12" t="n">
        <v>1802.25</v>
      </c>
      <c r="I43" s="12" t="n">
        <v>1663.61</v>
      </c>
      <c r="J43" s="12" t="n">
        <v>0</v>
      </c>
      <c r="K43" s="12" t="n">
        <v>33300</v>
      </c>
    </row>
    <row r="44">
      <c r="A44" s="11" t="n">
        <v>45901</v>
      </c>
      <c r="B44" t="n">
        <v>104</v>
      </c>
      <c r="C44" t="n">
        <v>20</v>
      </c>
      <c r="D44" s="12" t="n">
        <v>7200</v>
      </c>
      <c r="E44" s="12" t="n">
        <v>0</v>
      </c>
      <c r="F44" s="12" t="n">
        <v>7200</v>
      </c>
      <c r="G44" s="12" t="n">
        <v>547.2</v>
      </c>
      <c r="H44" s="12" t="n">
        <v>468</v>
      </c>
      <c r="I44" s="12" t="n">
        <v>432</v>
      </c>
      <c r="J44" s="12" t="n">
        <v>0</v>
      </c>
      <c r="K44" s="12" t="n">
        <v>8647.200000000001</v>
      </c>
    </row>
    <row r="45">
      <c r="A45" s="11" t="n">
        <v>45901</v>
      </c>
      <c r="B45" t="n">
        <v>105</v>
      </c>
      <c r="C45" t="n">
        <v>40</v>
      </c>
      <c r="D45" s="12" t="n">
        <v>4800</v>
      </c>
      <c r="E45" s="12" t="n">
        <v>0</v>
      </c>
      <c r="F45" s="12" t="n">
        <v>4800</v>
      </c>
      <c r="G45" s="12" t="n">
        <v>364.8</v>
      </c>
      <c r="H45" s="12" t="n">
        <v>312</v>
      </c>
      <c r="I45" s="12" t="n">
        <v>288</v>
      </c>
      <c r="J45" s="12" t="n">
        <v>0</v>
      </c>
      <c r="K45" s="12" t="n">
        <v>5764.8</v>
      </c>
    </row>
    <row r="46">
      <c r="A46" s="11" t="n">
        <v>45931</v>
      </c>
      <c r="B46" t="n">
        <v>101</v>
      </c>
      <c r="C46" t="n">
        <v>30</v>
      </c>
      <c r="D46" s="12" t="n">
        <v>13000</v>
      </c>
      <c r="E46" s="12" t="n">
        <v>0</v>
      </c>
      <c r="F46" s="12" t="n">
        <v>13000</v>
      </c>
      <c r="G46" s="12" t="n">
        <v>988</v>
      </c>
      <c r="H46" s="12" t="n">
        <v>845</v>
      </c>
      <c r="I46" s="12" t="n">
        <v>780</v>
      </c>
      <c r="J46" s="12" t="n">
        <v>975</v>
      </c>
      <c r="K46" s="12" t="n">
        <v>16588</v>
      </c>
    </row>
    <row r="47">
      <c r="A47" s="11" t="n">
        <v>45931</v>
      </c>
      <c r="B47" t="n">
        <v>102</v>
      </c>
      <c r="C47" t="n">
        <v>10</v>
      </c>
      <c r="D47" s="12" t="n">
        <v>12000</v>
      </c>
      <c r="E47" s="12" t="n">
        <v>10148.21</v>
      </c>
      <c r="F47" s="12" t="n">
        <v>22148.21</v>
      </c>
      <c r="G47" s="12" t="n">
        <v>1683.27</v>
      </c>
      <c r="H47" s="12" t="n">
        <v>1439.63</v>
      </c>
      <c r="I47" s="12" t="n">
        <v>1328.89</v>
      </c>
      <c r="J47" s="12" t="n">
        <v>0</v>
      </c>
      <c r="K47" s="12" t="n">
        <v>26600</v>
      </c>
    </row>
    <row r="48">
      <c r="A48" s="11" t="n">
        <v>45931</v>
      </c>
      <c r="B48" t="n">
        <v>104</v>
      </c>
      <c r="C48" t="n">
        <v>20</v>
      </c>
      <c r="D48" s="12" t="n">
        <v>7200</v>
      </c>
      <c r="E48" s="12" t="n">
        <v>0</v>
      </c>
      <c r="F48" s="12" t="n">
        <v>7200</v>
      </c>
      <c r="G48" s="12" t="n">
        <v>547.2</v>
      </c>
      <c r="H48" s="12" t="n">
        <v>468</v>
      </c>
      <c r="I48" s="12" t="n">
        <v>432</v>
      </c>
      <c r="J48" s="12" t="n">
        <v>0</v>
      </c>
      <c r="K48" s="12" t="n">
        <v>8647.200000000001</v>
      </c>
    </row>
    <row r="49">
      <c r="A49" s="11" t="n">
        <v>45931</v>
      </c>
      <c r="B49" t="n">
        <v>105</v>
      </c>
      <c r="C49" t="n">
        <v>40</v>
      </c>
      <c r="D49" s="12" t="n">
        <v>4800</v>
      </c>
      <c r="E49" s="12" t="n">
        <v>0</v>
      </c>
      <c r="F49" s="12" t="n">
        <v>4800</v>
      </c>
      <c r="G49" s="12" t="n">
        <v>364.8</v>
      </c>
      <c r="H49" s="12" t="n">
        <v>312</v>
      </c>
      <c r="I49" s="12" t="n">
        <v>288</v>
      </c>
      <c r="J49" s="12" t="n">
        <v>0</v>
      </c>
      <c r="K49" s="12" t="n">
        <v>5764.8</v>
      </c>
    </row>
    <row r="50">
      <c r="A50" s="11" t="n">
        <v>45962</v>
      </c>
      <c r="B50" t="n">
        <v>101</v>
      </c>
      <c r="C50" t="n">
        <v>30</v>
      </c>
      <c r="D50" s="12" t="n">
        <v>13000</v>
      </c>
      <c r="E50" s="12" t="n">
        <v>0</v>
      </c>
      <c r="F50" s="12" t="n">
        <v>13000</v>
      </c>
      <c r="G50" s="12" t="n">
        <v>988</v>
      </c>
      <c r="H50" s="12" t="n">
        <v>845</v>
      </c>
      <c r="I50" s="12" t="n">
        <v>780</v>
      </c>
      <c r="J50" s="12" t="n">
        <v>975</v>
      </c>
      <c r="K50" s="12" t="n">
        <v>16588</v>
      </c>
    </row>
    <row r="51">
      <c r="A51" s="11" t="n">
        <v>45962</v>
      </c>
      <c r="B51" t="n">
        <v>102</v>
      </c>
      <c r="C51" t="n">
        <v>10</v>
      </c>
      <c r="D51" s="12" t="n">
        <v>12000</v>
      </c>
      <c r="E51" s="12" t="n">
        <v>10025.65</v>
      </c>
      <c r="F51" s="12" t="n">
        <v>22025.65</v>
      </c>
      <c r="G51" s="12" t="n">
        <v>1673.94</v>
      </c>
      <c r="H51" s="12" t="n">
        <v>1431.67</v>
      </c>
      <c r="I51" s="12" t="n">
        <v>1321.54</v>
      </c>
      <c r="J51" s="12" t="n">
        <v>0</v>
      </c>
      <c r="K51" s="12" t="n">
        <v>26452.8</v>
      </c>
    </row>
    <row r="52">
      <c r="A52" s="11" t="n">
        <v>45962</v>
      </c>
      <c r="B52" t="n">
        <v>104</v>
      </c>
      <c r="C52" t="n">
        <v>20</v>
      </c>
      <c r="D52" s="12" t="n">
        <v>7200</v>
      </c>
      <c r="E52" s="12" t="n">
        <v>0</v>
      </c>
      <c r="F52" s="12" t="n">
        <v>7200</v>
      </c>
      <c r="G52" s="12" t="n">
        <v>547.2</v>
      </c>
      <c r="H52" s="12" t="n">
        <v>468</v>
      </c>
      <c r="I52" s="12" t="n">
        <v>432</v>
      </c>
      <c r="J52" s="12" t="n">
        <v>0</v>
      </c>
      <c r="K52" s="12" t="n">
        <v>8647.200000000001</v>
      </c>
    </row>
    <row r="53">
      <c r="A53" s="11" t="n">
        <v>45962</v>
      </c>
      <c r="B53" t="n">
        <v>105</v>
      </c>
      <c r="C53" t="n">
        <v>40</v>
      </c>
      <c r="D53" s="12" t="n">
        <v>4800</v>
      </c>
      <c r="E53" s="12" t="n">
        <v>0</v>
      </c>
      <c r="F53" s="12" t="n">
        <v>4800</v>
      </c>
      <c r="G53" s="12" t="n">
        <v>364.8</v>
      </c>
      <c r="H53" s="12" t="n">
        <v>312</v>
      </c>
      <c r="I53" s="12" t="n">
        <v>288</v>
      </c>
      <c r="J53" s="12" t="n">
        <v>0</v>
      </c>
      <c r="K53" s="12" t="n">
        <v>5764.8</v>
      </c>
    </row>
    <row r="54">
      <c r="A54" s="11" t="n">
        <v>45962</v>
      </c>
      <c r="B54" t="n">
        <v>104</v>
      </c>
      <c r="C54" t="n">
        <v>20</v>
      </c>
      <c r="D54" s="12" t="n">
        <v>7200</v>
      </c>
      <c r="E54" s="12" t="n">
        <v>0</v>
      </c>
      <c r="F54" s="12" t="n">
        <v>7200</v>
      </c>
      <c r="G54" s="12" t="n">
        <v>547.2</v>
      </c>
      <c r="H54" s="12" t="n">
        <v>468</v>
      </c>
      <c r="I54" s="12" t="n">
        <v>432</v>
      </c>
      <c r="J54" s="12" t="n">
        <v>0</v>
      </c>
      <c r="K54" s="12" t="n">
        <v>8647.200000000001</v>
      </c>
    </row>
    <row r="55">
      <c r="A55" s="11" t="n">
        <v>45992</v>
      </c>
      <c r="B55" t="n">
        <v>101</v>
      </c>
      <c r="C55" t="n">
        <v>30</v>
      </c>
      <c r="D55" s="12" t="n">
        <v>13000</v>
      </c>
      <c r="E55" s="12" t="n">
        <v>0</v>
      </c>
      <c r="F55" s="12" t="n">
        <v>13000</v>
      </c>
      <c r="G55" s="12" t="n">
        <v>988</v>
      </c>
      <c r="H55" s="12" t="n">
        <v>845</v>
      </c>
      <c r="I55" s="12" t="n">
        <v>780</v>
      </c>
      <c r="J55" s="12" t="n">
        <v>975</v>
      </c>
      <c r="K55" s="12" t="n">
        <v>16588</v>
      </c>
    </row>
    <row r="56">
      <c r="A56" s="11" t="n">
        <v>45992</v>
      </c>
      <c r="B56" t="n">
        <v>102</v>
      </c>
      <c r="C56" t="n">
        <v>10</v>
      </c>
      <c r="D56" s="12" t="n">
        <v>12000</v>
      </c>
      <c r="E56" s="12" t="n">
        <v>11646.96</v>
      </c>
      <c r="F56" s="12" t="n">
        <v>23646.96</v>
      </c>
      <c r="G56" s="12" t="n">
        <v>1797.17</v>
      </c>
      <c r="H56" s="12" t="n">
        <v>1537.05</v>
      </c>
      <c r="I56" s="12" t="n">
        <v>1418.82</v>
      </c>
      <c r="J56" s="12" t="n">
        <v>0</v>
      </c>
      <c r="K56" s="12" t="n">
        <v>28400</v>
      </c>
    </row>
    <row r="57">
      <c r="A57" s="11" t="n">
        <v>45992</v>
      </c>
      <c r="B57" t="n">
        <v>104</v>
      </c>
      <c r="C57" t="n">
        <v>20</v>
      </c>
      <c r="D57" s="12" t="n">
        <v>7200</v>
      </c>
      <c r="E57" s="12" t="n">
        <v>0</v>
      </c>
      <c r="F57" s="12" t="n">
        <v>7200</v>
      </c>
      <c r="G57" s="12" t="n">
        <v>547.2</v>
      </c>
      <c r="H57" s="12" t="n">
        <v>468</v>
      </c>
      <c r="I57" s="12" t="n">
        <v>432</v>
      </c>
      <c r="J57" s="12" t="n">
        <v>0</v>
      </c>
      <c r="K57" s="12" t="n">
        <v>8647.200000000001</v>
      </c>
    </row>
    <row r="58">
      <c r="A58" s="11" t="n">
        <v>45992</v>
      </c>
      <c r="B58" t="n">
        <v>105</v>
      </c>
      <c r="C58" t="n">
        <v>40</v>
      </c>
      <c r="D58" s="12" t="n">
        <v>4800</v>
      </c>
      <c r="E58" s="12" t="n">
        <v>0</v>
      </c>
      <c r="F58" s="12" t="n">
        <v>4800</v>
      </c>
      <c r="G58" s="12" t="n">
        <v>364.8</v>
      </c>
      <c r="H58" s="12" t="n">
        <v>312</v>
      </c>
      <c r="I58" s="12" t="n">
        <v>288</v>
      </c>
      <c r="J58" s="12" t="n">
        <v>0</v>
      </c>
      <c r="K58" s="12" t="n">
        <v>5764.8</v>
      </c>
    </row>
    <row r="59">
      <c r="A59" s="11" t="n">
        <v>46023</v>
      </c>
      <c r="B59" t="n">
        <v>101</v>
      </c>
      <c r="C59" t="n">
        <v>30</v>
      </c>
      <c r="D59" s="12" t="n">
        <v>13390</v>
      </c>
      <c r="E59" s="12" t="n">
        <v>0</v>
      </c>
      <c r="F59" s="12" t="n">
        <v>13390</v>
      </c>
      <c r="G59" s="12" t="n">
        <v>1017.64</v>
      </c>
      <c r="H59" s="12" t="n">
        <v>870.35</v>
      </c>
      <c r="I59" s="12" t="n">
        <v>803.4</v>
      </c>
      <c r="J59" s="12" t="n">
        <v>1004.25</v>
      </c>
      <c r="K59" s="12" t="n">
        <v>17085.64</v>
      </c>
    </row>
    <row r="60">
      <c r="A60" s="11" t="n">
        <v>46023</v>
      </c>
      <c r="B60" t="n">
        <v>102</v>
      </c>
      <c r="C60" t="n">
        <v>10</v>
      </c>
      <c r="D60" s="12" t="n">
        <v>12360</v>
      </c>
      <c r="E60" s="12" t="n">
        <v>13343.58</v>
      </c>
      <c r="F60" s="12" t="n">
        <v>25703.58</v>
      </c>
      <c r="G60" s="12" t="n">
        <v>1953.48</v>
      </c>
      <c r="H60" s="12" t="n">
        <v>1670.73</v>
      </c>
      <c r="I60" s="12" t="n">
        <v>1542.21</v>
      </c>
      <c r="J60" s="12" t="n">
        <v>0</v>
      </c>
      <c r="K60" s="12" t="n">
        <v>30870</v>
      </c>
    </row>
    <row r="61">
      <c r="A61" s="11" t="n">
        <v>46023</v>
      </c>
      <c r="B61" t="n">
        <v>104</v>
      </c>
      <c r="C61" t="n">
        <v>20</v>
      </c>
      <c r="D61" s="12" t="n">
        <v>7416</v>
      </c>
      <c r="E61" s="12" t="n">
        <v>0</v>
      </c>
      <c r="F61" s="12" t="n">
        <v>7416</v>
      </c>
      <c r="G61" s="12" t="n">
        <v>563.62</v>
      </c>
      <c r="H61" s="12" t="n">
        <v>482.04</v>
      </c>
      <c r="I61" s="12" t="n">
        <v>444.96</v>
      </c>
      <c r="J61" s="12" t="n">
        <v>0</v>
      </c>
      <c r="K61" s="12" t="n">
        <v>8906.620000000001</v>
      </c>
    </row>
    <row r="62">
      <c r="A62" s="11" t="n">
        <v>46023</v>
      </c>
      <c r="B62" t="n">
        <v>105</v>
      </c>
      <c r="C62" t="n">
        <v>40</v>
      </c>
      <c r="D62" s="12" t="n">
        <v>4944</v>
      </c>
      <c r="E62" s="12" t="n">
        <v>0</v>
      </c>
      <c r="F62" s="12" t="n">
        <v>4944</v>
      </c>
      <c r="G62" s="12" t="n">
        <v>375.74</v>
      </c>
      <c r="H62" s="12" t="n">
        <v>321.36</v>
      </c>
      <c r="I62" s="12" t="n">
        <v>296.64</v>
      </c>
      <c r="J62" s="12" t="n">
        <v>0</v>
      </c>
      <c r="K62" s="12" t="n">
        <v>5937.74</v>
      </c>
    </row>
    <row r="63">
      <c r="A63" s="11" t="n">
        <v>46054</v>
      </c>
      <c r="B63" t="n">
        <v>101</v>
      </c>
      <c r="C63" t="n">
        <v>30</v>
      </c>
      <c r="D63" s="12" t="n">
        <v>13390</v>
      </c>
      <c r="E63" s="12" t="n">
        <v>0</v>
      </c>
      <c r="F63" s="12" t="n">
        <v>13390</v>
      </c>
      <c r="G63" s="12" t="n">
        <v>1017.64</v>
      </c>
      <c r="H63" s="12" t="n">
        <v>870.35</v>
      </c>
      <c r="I63" s="12" t="n">
        <v>803.4</v>
      </c>
      <c r="J63" s="12" t="n">
        <v>1004.25</v>
      </c>
      <c r="K63" s="12" t="n">
        <v>17085.64</v>
      </c>
    </row>
    <row r="64">
      <c r="A64" s="11" t="n">
        <v>46054</v>
      </c>
      <c r="B64" t="n">
        <v>102</v>
      </c>
      <c r="C64" t="n">
        <v>10</v>
      </c>
      <c r="D64" s="12" t="n">
        <v>12360</v>
      </c>
      <c r="E64" s="12" t="n">
        <v>2062.98</v>
      </c>
      <c r="F64" s="12" t="n">
        <v>14422.98</v>
      </c>
      <c r="G64" s="12" t="n">
        <v>1096.15</v>
      </c>
      <c r="H64" s="12" t="n">
        <v>937.49</v>
      </c>
      <c r="I64" s="12" t="n">
        <v>865.38</v>
      </c>
      <c r="J64" s="12" t="n">
        <v>0</v>
      </c>
      <c r="K64" s="12" t="n">
        <v>17322</v>
      </c>
    </row>
    <row r="65">
      <c r="A65" s="11" t="n">
        <v>46054</v>
      </c>
      <c r="B65" t="n">
        <v>104</v>
      </c>
      <c r="C65" t="n">
        <v>20</v>
      </c>
      <c r="D65" s="12" t="n">
        <v>7416</v>
      </c>
      <c r="E65" s="12" t="n">
        <v>0</v>
      </c>
      <c r="F65" s="12" t="n">
        <v>7416</v>
      </c>
      <c r="G65" s="12" t="n">
        <v>563.62</v>
      </c>
      <c r="H65" s="12" t="n">
        <v>482.04</v>
      </c>
      <c r="I65" s="12" t="n">
        <v>444.96</v>
      </c>
      <c r="J65" s="12" t="n">
        <v>0</v>
      </c>
      <c r="K65" s="12" t="n">
        <v>8906.620000000001</v>
      </c>
    </row>
    <row r="66">
      <c r="A66" s="11" t="n">
        <v>46054</v>
      </c>
      <c r="B66" t="n">
        <v>105</v>
      </c>
      <c r="C66" t="n">
        <v>40</v>
      </c>
      <c r="D66" s="12" t="n">
        <v>4944</v>
      </c>
      <c r="E66" s="12" t="n">
        <v>0</v>
      </c>
      <c r="F66" s="12" t="n">
        <v>4944</v>
      </c>
      <c r="G66" s="12" t="n">
        <v>375.74</v>
      </c>
      <c r="H66" s="12" t="n">
        <v>321.36</v>
      </c>
      <c r="I66" s="12" t="n">
        <v>296.64</v>
      </c>
      <c r="J66" s="12" t="n">
        <v>0</v>
      </c>
      <c r="K66" s="12" t="n">
        <v>5937.74</v>
      </c>
    </row>
    <row r="67">
      <c r="A67" s="11" t="n">
        <v>46054</v>
      </c>
      <c r="B67" t="n">
        <v>106</v>
      </c>
      <c r="C67" t="n">
        <v>10</v>
      </c>
      <c r="D67" s="12" t="n">
        <v>8240</v>
      </c>
      <c r="E67" s="12" t="n">
        <v>1375.32</v>
      </c>
      <c r="F67" s="12" t="n">
        <v>9615.32</v>
      </c>
      <c r="G67" s="12" t="n">
        <v>730.76</v>
      </c>
      <c r="H67" s="12" t="n">
        <v>625</v>
      </c>
      <c r="I67" s="12" t="n">
        <v>576.92</v>
      </c>
      <c r="J67" s="12" t="n">
        <v>0</v>
      </c>
      <c r="K67" s="12" t="n">
        <v>11548</v>
      </c>
    </row>
    <row r="68">
      <c r="A68" s="11" t="n">
        <v>46082</v>
      </c>
      <c r="B68" t="n">
        <v>101</v>
      </c>
      <c r="C68" t="n">
        <v>30</v>
      </c>
      <c r="D68" s="12" t="n">
        <v>13390</v>
      </c>
      <c r="E68" s="12" t="n">
        <v>0</v>
      </c>
      <c r="F68" s="12" t="n">
        <v>13390</v>
      </c>
      <c r="G68" s="12" t="n">
        <v>1017.64</v>
      </c>
      <c r="H68" s="12" t="n">
        <v>870.35</v>
      </c>
      <c r="I68" s="12" t="n">
        <v>803.4</v>
      </c>
      <c r="J68" s="12" t="n">
        <v>1004.25</v>
      </c>
      <c r="K68" s="12" t="n">
        <v>17085.64</v>
      </c>
    </row>
    <row r="69">
      <c r="A69" s="11" t="n">
        <v>46082</v>
      </c>
      <c r="B69" t="n">
        <v>102</v>
      </c>
      <c r="C69" t="n">
        <v>10</v>
      </c>
      <c r="D69" s="12" t="n">
        <v>12360</v>
      </c>
      <c r="E69" s="12" t="n">
        <v>2123.61</v>
      </c>
      <c r="F69" s="12" t="n">
        <v>14483.61</v>
      </c>
      <c r="G69" s="12" t="n">
        <v>1100.76</v>
      </c>
      <c r="H69" s="12" t="n">
        <v>941.4299999999999</v>
      </c>
      <c r="I69" s="12" t="n">
        <v>869.02</v>
      </c>
      <c r="J69" s="12" t="n">
        <v>0</v>
      </c>
      <c r="K69" s="12" t="n">
        <v>17394.82</v>
      </c>
    </row>
    <row r="70">
      <c r="A70" s="11" t="n">
        <v>46082</v>
      </c>
      <c r="B70" t="n">
        <v>104</v>
      </c>
      <c r="C70" t="n">
        <v>20</v>
      </c>
      <c r="D70" s="12" t="n">
        <v>7416</v>
      </c>
      <c r="E70" s="12" t="n">
        <v>0</v>
      </c>
      <c r="F70" s="12" t="n">
        <v>7416</v>
      </c>
      <c r="G70" s="12" t="n">
        <v>563.62</v>
      </c>
      <c r="H70" s="12" t="n">
        <v>482.04</v>
      </c>
      <c r="I70" s="12" t="n">
        <v>444.96</v>
      </c>
      <c r="J70" s="12" t="n">
        <v>0</v>
      </c>
      <c r="K70" s="12" t="n">
        <v>8906.620000000001</v>
      </c>
    </row>
    <row r="71">
      <c r="A71" s="11" t="n">
        <v>46082</v>
      </c>
      <c r="B71" t="n">
        <v>105</v>
      </c>
      <c r="C71" t="n">
        <v>40</v>
      </c>
      <c r="D71" s="12" t="n">
        <v>4944</v>
      </c>
      <c r="E71" s="12" t="n">
        <v>0</v>
      </c>
      <c r="F71" s="12" t="n">
        <v>4944</v>
      </c>
      <c r="G71" s="12" t="n">
        <v>375.74</v>
      </c>
      <c r="H71" s="12" t="n">
        <v>0</v>
      </c>
      <c r="I71" s="12" t="n">
        <v>296.64</v>
      </c>
      <c r="J71" s="12" t="n">
        <v>0</v>
      </c>
      <c r="K71" s="12" t="n">
        <v>5616.38</v>
      </c>
    </row>
    <row r="72">
      <c r="A72" s="11" t="n">
        <v>46082</v>
      </c>
      <c r="B72" t="n">
        <v>106</v>
      </c>
      <c r="C72" t="n">
        <v>10</v>
      </c>
      <c r="D72" s="12" t="n">
        <v>8240</v>
      </c>
      <c r="E72" s="12" t="n">
        <v>1415.74</v>
      </c>
      <c r="F72" s="12" t="n">
        <v>9655.74</v>
      </c>
      <c r="G72" s="12" t="n">
        <v>733.84</v>
      </c>
      <c r="H72" s="12" t="n">
        <v>627.62</v>
      </c>
      <c r="I72" s="12" t="n">
        <v>579.34</v>
      </c>
      <c r="J72" s="12" t="n">
        <v>0</v>
      </c>
      <c r="K72" s="12" t="n">
        <v>11596.54</v>
      </c>
    </row>
    <row r="73">
      <c r="A73" s="11" t="n">
        <v>46113</v>
      </c>
      <c r="B73" t="n">
        <v>101</v>
      </c>
      <c r="C73" t="n">
        <v>30</v>
      </c>
      <c r="D73" s="12" t="n">
        <v>13390</v>
      </c>
      <c r="E73" s="12" t="n">
        <v>0</v>
      </c>
      <c r="F73" s="12" t="n">
        <v>13390</v>
      </c>
      <c r="G73" s="12" t="n">
        <v>1017.64</v>
      </c>
      <c r="H73" s="12" t="n">
        <v>870.35</v>
      </c>
      <c r="I73" s="12" t="n">
        <v>803.4</v>
      </c>
      <c r="J73" s="12" t="n">
        <v>1004.25</v>
      </c>
      <c r="K73" s="12" t="n">
        <v>17085.64</v>
      </c>
    </row>
    <row r="74">
      <c r="A74" s="11" t="n">
        <v>46113</v>
      </c>
      <c r="B74" t="n">
        <v>102</v>
      </c>
      <c r="C74" t="n">
        <v>10</v>
      </c>
      <c r="D74" s="12" t="n">
        <v>12360</v>
      </c>
      <c r="E74" s="12" t="n">
        <v>724.78</v>
      </c>
      <c r="F74" s="12" t="n">
        <v>13084.78</v>
      </c>
      <c r="G74" s="12" t="n">
        <v>994.4400000000001</v>
      </c>
      <c r="H74" s="12" t="n">
        <v>850.51</v>
      </c>
      <c r="I74" s="12" t="n">
        <v>785.09</v>
      </c>
      <c r="J74" s="12" t="n">
        <v>0</v>
      </c>
      <c r="K74" s="12" t="n">
        <v>15714.82</v>
      </c>
    </row>
    <row r="75">
      <c r="A75" s="11" t="n">
        <v>46113</v>
      </c>
      <c r="B75" t="n">
        <v>104</v>
      </c>
      <c r="C75" t="n">
        <v>20</v>
      </c>
      <c r="D75" s="12" t="n">
        <v>7416</v>
      </c>
      <c r="E75" s="12" t="n">
        <v>0</v>
      </c>
      <c r="F75" s="12" t="n">
        <v>7416</v>
      </c>
      <c r="G75" s="12" t="n">
        <v>563.62</v>
      </c>
      <c r="H75" s="12" t="n">
        <v>482.04</v>
      </c>
      <c r="I75" s="12" t="n">
        <v>444.96</v>
      </c>
      <c r="J75" s="12" t="n">
        <v>0</v>
      </c>
      <c r="K75" s="12" t="n">
        <v>8906.620000000001</v>
      </c>
    </row>
    <row r="76">
      <c r="A76" s="11" t="n">
        <v>46113</v>
      </c>
      <c r="B76" t="n">
        <v>105</v>
      </c>
      <c r="C76" t="n">
        <v>40</v>
      </c>
      <c r="D76" s="12" t="n">
        <v>4944</v>
      </c>
      <c r="E76" s="12" t="n">
        <v>0</v>
      </c>
      <c r="F76" s="12" t="n">
        <v>4944</v>
      </c>
      <c r="G76" s="12" t="n">
        <v>375.74</v>
      </c>
      <c r="H76" s="12" t="n">
        <v>0</v>
      </c>
      <c r="I76" s="12" t="n">
        <v>296.64</v>
      </c>
      <c r="J76" s="12" t="n">
        <v>0</v>
      </c>
      <c r="K76" s="12" t="n">
        <v>5616.38</v>
      </c>
    </row>
    <row r="77">
      <c r="A77" s="11" t="n">
        <v>46113</v>
      </c>
      <c r="B77" t="n">
        <v>106</v>
      </c>
      <c r="C77" t="n">
        <v>10</v>
      </c>
      <c r="D77" s="12" t="n">
        <v>8240</v>
      </c>
      <c r="E77" s="12" t="n">
        <v>483.18</v>
      </c>
      <c r="F77" s="12" t="n">
        <v>8723.18</v>
      </c>
      <c r="G77" s="12" t="n">
        <v>662.96</v>
      </c>
      <c r="H77" s="12" t="n">
        <v>567.01</v>
      </c>
      <c r="I77" s="12" t="n">
        <v>523.39</v>
      </c>
      <c r="J77" s="12" t="n">
        <v>0</v>
      </c>
      <c r="K77" s="12" t="n">
        <v>10476.54</v>
      </c>
    </row>
    <row r="78">
      <c r="A78" s="11" t="n">
        <v>46143</v>
      </c>
      <c r="B78" t="n">
        <v>101</v>
      </c>
      <c r="C78" t="n">
        <v>30</v>
      </c>
      <c r="D78" s="12" t="n">
        <v>13390</v>
      </c>
      <c r="E78" s="12" t="n">
        <v>0</v>
      </c>
      <c r="F78" s="12" t="n">
        <v>13390</v>
      </c>
      <c r="G78" s="12" t="n">
        <v>1017.64</v>
      </c>
      <c r="H78" s="12" t="n">
        <v>870.35</v>
      </c>
      <c r="I78" s="12" t="n">
        <v>803.4</v>
      </c>
      <c r="J78" s="12" t="n">
        <v>1004.25</v>
      </c>
      <c r="K78" s="12" t="n">
        <v>17085.64</v>
      </c>
    </row>
    <row r="79">
      <c r="A79" s="11" t="n">
        <v>46143</v>
      </c>
      <c r="B79" t="n">
        <v>102</v>
      </c>
      <c r="C79" t="n">
        <v>10</v>
      </c>
      <c r="D79" s="12" t="n">
        <v>12360</v>
      </c>
      <c r="E79" s="12" t="n">
        <v>3122.78</v>
      </c>
      <c r="F79" s="12" t="n">
        <v>15482.78</v>
      </c>
      <c r="G79" s="12" t="n">
        <v>1176.69</v>
      </c>
      <c r="H79" s="12" t="n">
        <v>1006.38</v>
      </c>
      <c r="I79" s="12" t="n">
        <v>928.97</v>
      </c>
      <c r="J79" s="12" t="n">
        <v>0</v>
      </c>
      <c r="K79" s="12" t="n">
        <v>18594.82</v>
      </c>
    </row>
    <row r="80">
      <c r="A80" s="11" t="n">
        <v>46143</v>
      </c>
      <c r="B80" t="n">
        <v>104</v>
      </c>
      <c r="C80" t="n">
        <v>20</v>
      </c>
      <c r="D80" s="12" t="n">
        <v>7416</v>
      </c>
      <c r="E80" s="12" t="n">
        <v>0</v>
      </c>
      <c r="F80" s="12" t="n">
        <v>7416</v>
      </c>
      <c r="G80" s="12" t="n">
        <v>563.62</v>
      </c>
      <c r="H80" s="12" t="n">
        <v>482.04</v>
      </c>
      <c r="I80" s="12" t="n">
        <v>444.96</v>
      </c>
      <c r="J80" s="12" t="n">
        <v>0</v>
      </c>
      <c r="K80" s="12" t="n">
        <v>8906.620000000001</v>
      </c>
    </row>
    <row r="81">
      <c r="A81" s="11" t="n">
        <v>46143</v>
      </c>
      <c r="B81" t="n">
        <v>105</v>
      </c>
      <c r="C81" t="n">
        <v>40</v>
      </c>
      <c r="D81" s="12" t="n">
        <v>4944</v>
      </c>
      <c r="E81" s="12" t="n">
        <v>0</v>
      </c>
      <c r="F81" s="12" t="n">
        <v>4944</v>
      </c>
      <c r="G81" s="12" t="n">
        <v>375.74</v>
      </c>
      <c r="H81" s="12" t="n">
        <v>0</v>
      </c>
      <c r="I81" s="12" t="n">
        <v>296.64</v>
      </c>
      <c r="J81" s="12" t="n">
        <v>0</v>
      </c>
      <c r="K81" s="12" t="n">
        <v>5616.38</v>
      </c>
    </row>
    <row r="82">
      <c r="A82" s="11" t="n">
        <v>46143</v>
      </c>
      <c r="B82" t="n">
        <v>106</v>
      </c>
      <c r="C82" t="n">
        <v>10</v>
      </c>
      <c r="D82" s="12" t="n">
        <v>8240</v>
      </c>
      <c r="E82" s="12" t="n">
        <v>2081.85</v>
      </c>
      <c r="F82" s="12" t="n">
        <v>10321.85</v>
      </c>
      <c r="G82" s="12" t="n">
        <v>784.46</v>
      </c>
      <c r="H82" s="12" t="n">
        <v>670.92</v>
      </c>
      <c r="I82" s="12" t="n">
        <v>619.3099999999999</v>
      </c>
      <c r="J82" s="12" t="n">
        <v>0</v>
      </c>
      <c r="K82" s="12" t="n">
        <v>12396.54</v>
      </c>
    </row>
    <row r="83">
      <c r="A83" s="11" t="n">
        <v>46174</v>
      </c>
      <c r="B83" t="n">
        <v>101</v>
      </c>
      <c r="C83" t="n">
        <v>30</v>
      </c>
      <c r="D83" s="12" t="n">
        <v>13390</v>
      </c>
      <c r="E83" s="12" t="n">
        <v>0</v>
      </c>
      <c r="F83" s="12" t="n">
        <v>13390</v>
      </c>
      <c r="G83" s="12" t="n">
        <v>1017.64</v>
      </c>
      <c r="H83" s="12" t="n">
        <v>870.35</v>
      </c>
      <c r="I83" s="12" t="n">
        <v>803.4</v>
      </c>
      <c r="J83" s="12" t="n">
        <v>1004.25</v>
      </c>
      <c r="K83" s="12" t="n">
        <v>17085.64</v>
      </c>
    </row>
    <row r="84">
      <c r="A84" s="11" t="n">
        <v>46174</v>
      </c>
      <c r="B84" t="n">
        <v>102</v>
      </c>
      <c r="C84" t="n">
        <v>10</v>
      </c>
      <c r="D84" s="12" t="n">
        <v>12360</v>
      </c>
      <c r="E84" s="12" t="n">
        <v>3511.77</v>
      </c>
      <c r="F84" s="12" t="n">
        <v>15871.77</v>
      </c>
      <c r="G84" s="12" t="n">
        <v>1206.25</v>
      </c>
      <c r="H84" s="12" t="n">
        <v>1031.67</v>
      </c>
      <c r="I84" s="12" t="n">
        <v>952.3099999999999</v>
      </c>
      <c r="J84" s="12" t="n">
        <v>0</v>
      </c>
      <c r="K84" s="12" t="n">
        <v>19062</v>
      </c>
    </row>
    <row r="85">
      <c r="A85" s="11" t="n">
        <v>46174</v>
      </c>
      <c r="B85" t="n">
        <v>104</v>
      </c>
      <c r="C85" t="n">
        <v>20</v>
      </c>
      <c r="D85" s="12" t="n">
        <v>7416</v>
      </c>
      <c r="E85" s="12" t="n">
        <v>0</v>
      </c>
      <c r="F85" s="12" t="n">
        <v>7416</v>
      </c>
      <c r="G85" s="12" t="n">
        <v>563.62</v>
      </c>
      <c r="H85" s="12" t="n">
        <v>482.04</v>
      </c>
      <c r="I85" s="12" t="n">
        <v>444.96</v>
      </c>
      <c r="J85" s="12" t="n">
        <v>0</v>
      </c>
      <c r="K85" s="12" t="n">
        <v>8906.620000000001</v>
      </c>
    </row>
    <row r="86">
      <c r="A86" s="11" t="n">
        <v>46174</v>
      </c>
      <c r="B86" t="n">
        <v>105</v>
      </c>
      <c r="C86" t="n">
        <v>40</v>
      </c>
      <c r="D86" s="12" t="n">
        <v>4944</v>
      </c>
      <c r="E86" s="12" t="n">
        <v>0</v>
      </c>
      <c r="F86" s="12" t="n">
        <v>4944</v>
      </c>
      <c r="G86" s="12" t="n">
        <v>375.74</v>
      </c>
      <c r="H86" s="12" t="n">
        <v>321.36</v>
      </c>
      <c r="I86" s="12" t="n">
        <v>296.64</v>
      </c>
      <c r="J86" s="12" t="n">
        <v>0</v>
      </c>
      <c r="K86" s="12" t="n">
        <v>5937.74</v>
      </c>
    </row>
    <row r="87">
      <c r="A87" s="11" t="n">
        <v>46174</v>
      </c>
      <c r="B87" t="n">
        <v>106</v>
      </c>
      <c r="C87" t="n">
        <v>10</v>
      </c>
      <c r="D87" s="12" t="n">
        <v>8240</v>
      </c>
      <c r="E87" s="12" t="n">
        <v>2341.18</v>
      </c>
      <c r="F87" s="12" t="n">
        <v>10581.18</v>
      </c>
      <c r="G87" s="12" t="n">
        <v>804.17</v>
      </c>
      <c r="H87" s="12" t="n">
        <v>687.78</v>
      </c>
      <c r="I87" s="12" t="n">
        <v>634.87</v>
      </c>
      <c r="J87" s="12" t="n">
        <v>0</v>
      </c>
      <c r="K87" s="12" t="n">
        <v>12708</v>
      </c>
    </row>
    <row r="88">
      <c r="A88" s="11" t="n">
        <v>46204</v>
      </c>
      <c r="B88" t="n">
        <v>101</v>
      </c>
      <c r="C88" t="n">
        <v>30</v>
      </c>
      <c r="D88" s="12" t="n">
        <v>13390</v>
      </c>
      <c r="E88" s="12" t="n">
        <v>0</v>
      </c>
      <c r="F88" s="12" t="n">
        <v>13390</v>
      </c>
      <c r="G88" s="12" t="n">
        <v>1017.64</v>
      </c>
      <c r="H88" s="12" t="n">
        <v>870.35</v>
      </c>
      <c r="I88" s="12" t="n">
        <v>803.4</v>
      </c>
      <c r="J88" s="12" t="n">
        <v>1004.25</v>
      </c>
      <c r="K88" s="12" t="n">
        <v>17085.64</v>
      </c>
    </row>
    <row r="89">
      <c r="A89" s="11" t="n">
        <v>46204</v>
      </c>
      <c r="B89" t="n">
        <v>102</v>
      </c>
      <c r="C89" t="n">
        <v>10</v>
      </c>
      <c r="D89" s="12" t="n">
        <v>12360</v>
      </c>
      <c r="E89" s="12" t="n">
        <v>2112.94</v>
      </c>
      <c r="F89" s="12" t="n">
        <v>14472.94</v>
      </c>
      <c r="G89" s="12" t="n">
        <v>1099.93</v>
      </c>
      <c r="H89" s="12" t="n">
        <v>940.74</v>
      </c>
      <c r="I89" s="12" t="n">
        <v>868.38</v>
      </c>
      <c r="J89" s="12" t="n">
        <v>0</v>
      </c>
      <c r="K89" s="12" t="n">
        <v>17381.99</v>
      </c>
    </row>
    <row r="90">
      <c r="A90" s="11" t="n">
        <v>46204</v>
      </c>
      <c r="B90" t="n">
        <v>104</v>
      </c>
      <c r="C90" t="n">
        <v>20</v>
      </c>
      <c r="D90" s="12" t="n">
        <v>7416</v>
      </c>
      <c r="E90" s="12" t="n">
        <v>0</v>
      </c>
      <c r="F90" s="12" t="n">
        <v>7416</v>
      </c>
      <c r="G90" s="12" t="n">
        <v>563.62</v>
      </c>
      <c r="H90" s="12" t="n">
        <v>482.04</v>
      </c>
      <c r="I90" s="12" t="n">
        <v>444.96</v>
      </c>
      <c r="J90" s="12" t="n">
        <v>0</v>
      </c>
      <c r="K90" s="12" t="n">
        <v>8906.620000000001</v>
      </c>
    </row>
    <row r="91">
      <c r="A91" s="11" t="n">
        <v>46204</v>
      </c>
      <c r="B91" t="n">
        <v>105</v>
      </c>
      <c r="C91" t="n">
        <v>40</v>
      </c>
      <c r="D91" s="12" t="n">
        <v>4944</v>
      </c>
      <c r="E91" s="12" t="n">
        <v>0</v>
      </c>
      <c r="F91" s="12" t="n">
        <v>4944</v>
      </c>
      <c r="G91" s="12" t="n">
        <v>375.74</v>
      </c>
      <c r="H91" s="12" t="n">
        <v>321.36</v>
      </c>
      <c r="I91" s="12" t="n">
        <v>296.64</v>
      </c>
      <c r="J91" s="12" t="n">
        <v>0</v>
      </c>
      <c r="K91" s="12" t="n">
        <v>5937.74</v>
      </c>
    </row>
    <row r="92">
      <c r="A92" s="11" t="n">
        <v>46204</v>
      </c>
      <c r="B92" t="n">
        <v>106</v>
      </c>
      <c r="C92" t="n">
        <v>10</v>
      </c>
      <c r="D92" s="12" t="n">
        <v>8240</v>
      </c>
      <c r="E92" s="12" t="n">
        <v>1408.63</v>
      </c>
      <c r="F92" s="12" t="n">
        <v>9648.629999999999</v>
      </c>
      <c r="G92" s="12" t="n">
        <v>733.3</v>
      </c>
      <c r="H92" s="12" t="n">
        <v>627.16</v>
      </c>
      <c r="I92" s="12" t="n">
        <v>578.92</v>
      </c>
      <c r="J92" s="12" t="n">
        <v>0</v>
      </c>
      <c r="K92" s="12" t="n">
        <v>11588.01</v>
      </c>
    </row>
    <row r="93">
      <c r="A93" s="11" t="n">
        <v>46235</v>
      </c>
      <c r="B93" t="n">
        <v>101</v>
      </c>
      <c r="C93" t="n">
        <v>30</v>
      </c>
      <c r="D93" s="12" t="n">
        <v>13390</v>
      </c>
      <c r="E93" s="12" t="n">
        <v>0</v>
      </c>
      <c r="F93" s="12" t="n">
        <v>13390</v>
      </c>
      <c r="G93" s="12" t="n">
        <v>1017.64</v>
      </c>
      <c r="H93" s="12" t="n">
        <v>870.35</v>
      </c>
      <c r="I93" s="12" t="n">
        <v>803.4</v>
      </c>
      <c r="J93" s="12" t="n">
        <v>1004.25</v>
      </c>
      <c r="K93" s="12" t="n">
        <v>17085.64</v>
      </c>
    </row>
    <row r="94">
      <c r="A94" s="11" t="n">
        <v>46235</v>
      </c>
      <c r="B94" t="n">
        <v>102</v>
      </c>
      <c r="C94" t="n">
        <v>10</v>
      </c>
      <c r="D94" s="12" t="n">
        <v>12360</v>
      </c>
      <c r="E94" s="12" t="n">
        <v>1063.81</v>
      </c>
      <c r="F94" s="12" t="n">
        <v>13423.81</v>
      </c>
      <c r="G94" s="12" t="n">
        <v>1020.21</v>
      </c>
      <c r="H94" s="12" t="n">
        <v>872.55</v>
      </c>
      <c r="I94" s="12" t="n">
        <v>805.4299999999999</v>
      </c>
      <c r="J94" s="12" t="n">
        <v>0</v>
      </c>
      <c r="K94" s="12" t="n">
        <v>16122</v>
      </c>
    </row>
    <row r="95">
      <c r="A95" s="11" t="n">
        <v>46235</v>
      </c>
      <c r="B95" t="n">
        <v>104</v>
      </c>
      <c r="C95" t="n">
        <v>20</v>
      </c>
      <c r="D95" s="12" t="n">
        <v>7416</v>
      </c>
      <c r="E95" s="12" t="n">
        <v>0</v>
      </c>
      <c r="F95" s="12" t="n">
        <v>7416</v>
      </c>
      <c r="G95" s="12" t="n">
        <v>563.62</v>
      </c>
      <c r="H95" s="12" t="n">
        <v>482.04</v>
      </c>
      <c r="I95" s="12" t="n">
        <v>444.96</v>
      </c>
      <c r="J95" s="12" t="n">
        <v>0</v>
      </c>
      <c r="K95" s="12" t="n">
        <v>8906.620000000001</v>
      </c>
    </row>
    <row r="96">
      <c r="A96" s="11" t="n">
        <v>46235</v>
      </c>
      <c r="B96" t="n">
        <v>105</v>
      </c>
      <c r="C96" t="n">
        <v>40</v>
      </c>
      <c r="D96" s="12" t="n">
        <v>4944</v>
      </c>
      <c r="E96" s="12" t="n">
        <v>0</v>
      </c>
      <c r="F96" s="12" t="n">
        <v>4944</v>
      </c>
      <c r="G96" s="12" t="n">
        <v>375.74</v>
      </c>
      <c r="H96" s="12" t="n">
        <v>321.36</v>
      </c>
      <c r="I96" s="12" t="n">
        <v>296.64</v>
      </c>
      <c r="J96" s="12" t="n">
        <v>0</v>
      </c>
      <c r="K96" s="12" t="n">
        <v>5937.74</v>
      </c>
    </row>
    <row r="97">
      <c r="A97" s="11" t="n">
        <v>46235</v>
      </c>
      <c r="B97" t="n">
        <v>106</v>
      </c>
      <c r="C97" t="n">
        <v>10</v>
      </c>
      <c r="D97" s="12" t="n">
        <v>8240</v>
      </c>
      <c r="E97" s="12" t="n">
        <v>709.21</v>
      </c>
      <c r="F97" s="12" t="n">
        <v>8949.209999999999</v>
      </c>
      <c r="G97" s="12" t="n">
        <v>680.14</v>
      </c>
      <c r="H97" s="12" t="n">
        <v>581.7</v>
      </c>
      <c r="I97" s="12" t="n">
        <v>536.95</v>
      </c>
      <c r="J97" s="12" t="n">
        <v>0</v>
      </c>
      <c r="K97" s="12" t="n">
        <v>10748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מחלקה</t>
        </is>
      </c>
      <c r="B1" t="inlineStr">
        <is>
          <t>חודש</t>
        </is>
      </c>
      <c r="C1" t="inlineStr">
        <is>
          <t>תקן</t>
        </is>
      </c>
      <c r="D1" t="inlineStr">
        <is>
          <t>תקציב עלות מעביד</t>
        </is>
      </c>
    </row>
    <row r="2">
      <c r="A2" t="n">
        <v>10</v>
      </c>
      <c r="B2" s="11" t="n">
        <v>45658</v>
      </c>
      <c r="C2" t="n">
        <v>3</v>
      </c>
      <c r="D2" s="13" t="n">
        <v>30800</v>
      </c>
    </row>
    <row r="3">
      <c r="A3" t="n">
        <v>20</v>
      </c>
      <c r="B3" s="11" t="n">
        <v>45658</v>
      </c>
      <c r="C3" t="n">
        <v>1</v>
      </c>
      <c r="D3" s="13" t="n">
        <v>9000</v>
      </c>
    </row>
    <row r="4">
      <c r="A4" t="n">
        <v>30</v>
      </c>
      <c r="B4" s="11" t="n">
        <v>45658</v>
      </c>
      <c r="C4" t="n">
        <v>1</v>
      </c>
      <c r="D4" s="13" t="n">
        <v>16000</v>
      </c>
    </row>
    <row r="5">
      <c r="A5" t="n">
        <v>40</v>
      </c>
      <c r="B5" s="11" t="n">
        <v>45658</v>
      </c>
      <c r="C5" t="n">
        <v>0.5</v>
      </c>
      <c r="D5" s="13" t="n">
        <v>6000</v>
      </c>
    </row>
    <row r="6">
      <c r="A6" t="n">
        <v>10</v>
      </c>
      <c r="B6" s="11" t="n">
        <v>45689</v>
      </c>
      <c r="C6" t="n">
        <v>3</v>
      </c>
      <c r="D6" s="13" t="n">
        <v>30800</v>
      </c>
    </row>
    <row r="7">
      <c r="A7" t="n">
        <v>20</v>
      </c>
      <c r="B7" s="11" t="n">
        <v>45689</v>
      </c>
      <c r="C7" t="n">
        <v>1</v>
      </c>
      <c r="D7" s="13" t="n">
        <v>9000</v>
      </c>
    </row>
    <row r="8">
      <c r="A8" t="n">
        <v>30</v>
      </c>
      <c r="B8" s="11" t="n">
        <v>45689</v>
      </c>
      <c r="C8" t="n">
        <v>1</v>
      </c>
      <c r="D8" s="13" t="n">
        <v>16000</v>
      </c>
    </row>
    <row r="9">
      <c r="A9" t="n">
        <v>40</v>
      </c>
      <c r="B9" s="11" t="n">
        <v>45689</v>
      </c>
      <c r="C9" t="n">
        <v>0.5</v>
      </c>
      <c r="D9" s="13" t="n">
        <v>6000</v>
      </c>
    </row>
    <row r="10">
      <c r="A10" t="n">
        <v>10</v>
      </c>
      <c r="B10" s="11" t="n">
        <v>45717</v>
      </c>
      <c r="C10" t="n">
        <v>3</v>
      </c>
      <c r="D10" s="13" t="n">
        <v>30800</v>
      </c>
    </row>
    <row r="11">
      <c r="A11" t="n">
        <v>20</v>
      </c>
      <c r="B11" s="11" t="n">
        <v>45717</v>
      </c>
      <c r="C11" t="n">
        <v>1</v>
      </c>
      <c r="D11" s="13" t="n">
        <v>9000</v>
      </c>
    </row>
    <row r="12">
      <c r="A12" t="n">
        <v>30</v>
      </c>
      <c r="B12" s="11" t="n">
        <v>45717</v>
      </c>
      <c r="C12" t="n">
        <v>1</v>
      </c>
      <c r="D12" s="13" t="n">
        <v>16000</v>
      </c>
    </row>
    <row r="13">
      <c r="A13" t="n">
        <v>40</v>
      </c>
      <c r="B13" s="11" t="n">
        <v>45717</v>
      </c>
      <c r="C13" t="n">
        <v>0.5</v>
      </c>
      <c r="D13" s="13" t="n">
        <v>6000</v>
      </c>
    </row>
    <row r="14">
      <c r="A14" t="n">
        <v>10</v>
      </c>
      <c r="B14" s="11" t="n">
        <v>45748</v>
      </c>
      <c r="C14" t="n">
        <v>3</v>
      </c>
      <c r="D14" s="13" t="n">
        <v>30800</v>
      </c>
    </row>
    <row r="15">
      <c r="A15" t="n">
        <v>20</v>
      </c>
      <c r="B15" s="11" t="n">
        <v>45748</v>
      </c>
      <c r="C15" t="n">
        <v>1</v>
      </c>
      <c r="D15" s="13" t="n">
        <v>9000</v>
      </c>
    </row>
    <row r="16">
      <c r="A16" t="n">
        <v>30</v>
      </c>
      <c r="B16" s="11" t="n">
        <v>45748</v>
      </c>
      <c r="C16" t="n">
        <v>1</v>
      </c>
      <c r="D16" s="13" t="n">
        <v>16000</v>
      </c>
    </row>
    <row r="17">
      <c r="A17" t="n">
        <v>40</v>
      </c>
      <c r="B17" s="11" t="n">
        <v>45748</v>
      </c>
      <c r="C17" t="n">
        <v>0.5</v>
      </c>
      <c r="D17" s="13" t="n">
        <v>6000</v>
      </c>
    </row>
    <row r="18">
      <c r="A18" t="n">
        <v>10</v>
      </c>
      <c r="B18" s="11" t="n">
        <v>45778</v>
      </c>
      <c r="C18" t="n">
        <v>3</v>
      </c>
      <c r="D18" s="13" t="n">
        <v>30800</v>
      </c>
    </row>
    <row r="19">
      <c r="A19" t="n">
        <v>20</v>
      </c>
      <c r="B19" s="11" t="n">
        <v>45778</v>
      </c>
      <c r="C19" t="n">
        <v>1</v>
      </c>
      <c r="D19" s="13" t="n">
        <v>9000</v>
      </c>
    </row>
    <row r="20">
      <c r="A20" t="n">
        <v>30</v>
      </c>
      <c r="B20" s="11" t="n">
        <v>45778</v>
      </c>
      <c r="C20" t="n">
        <v>1</v>
      </c>
      <c r="D20" s="13" t="n">
        <v>16000</v>
      </c>
    </row>
    <row r="21">
      <c r="A21" t="n">
        <v>40</v>
      </c>
      <c r="B21" s="11" t="n">
        <v>45778</v>
      </c>
      <c r="C21" t="n">
        <v>0.5</v>
      </c>
      <c r="D21" s="13" t="n">
        <v>6000</v>
      </c>
    </row>
    <row r="22">
      <c r="A22" t="n">
        <v>10</v>
      </c>
      <c r="B22" s="11" t="n">
        <v>45809</v>
      </c>
      <c r="C22" t="n">
        <v>3</v>
      </c>
      <c r="D22" s="13" t="n">
        <v>30800</v>
      </c>
    </row>
    <row r="23">
      <c r="A23" t="n">
        <v>20</v>
      </c>
      <c r="B23" s="11" t="n">
        <v>45809</v>
      </c>
      <c r="C23" t="n">
        <v>1</v>
      </c>
      <c r="D23" s="13" t="n">
        <v>9000</v>
      </c>
    </row>
    <row r="24">
      <c r="A24" t="n">
        <v>30</v>
      </c>
      <c r="B24" s="11" t="n">
        <v>45809</v>
      </c>
      <c r="C24" t="n">
        <v>1</v>
      </c>
      <c r="D24" s="13" t="n">
        <v>16000</v>
      </c>
    </row>
    <row r="25">
      <c r="A25" t="n">
        <v>40</v>
      </c>
      <c r="B25" s="11" t="n">
        <v>45809</v>
      </c>
      <c r="C25" t="n">
        <v>0.5</v>
      </c>
      <c r="D25" s="13" t="n">
        <v>6000</v>
      </c>
    </row>
    <row r="26">
      <c r="A26" t="n">
        <v>10</v>
      </c>
      <c r="B26" s="11" t="n">
        <v>45839</v>
      </c>
      <c r="C26" t="n">
        <v>3</v>
      </c>
      <c r="D26" s="13" t="n">
        <v>30800</v>
      </c>
    </row>
    <row r="27">
      <c r="A27" t="n">
        <v>20</v>
      </c>
      <c r="B27" s="11" t="n">
        <v>45839</v>
      </c>
      <c r="C27" t="n">
        <v>1</v>
      </c>
      <c r="D27" s="13" t="n">
        <v>9000</v>
      </c>
    </row>
    <row r="28">
      <c r="A28" t="n">
        <v>30</v>
      </c>
      <c r="B28" s="11" t="n">
        <v>45839</v>
      </c>
      <c r="C28" t="n">
        <v>1</v>
      </c>
      <c r="D28" s="13" t="n">
        <v>16000</v>
      </c>
    </row>
    <row r="29">
      <c r="A29" t="n">
        <v>40</v>
      </c>
      <c r="B29" s="11" t="n">
        <v>45839</v>
      </c>
      <c r="C29" t="n">
        <v>0.5</v>
      </c>
      <c r="D29" s="13" t="n">
        <v>6000</v>
      </c>
    </row>
    <row r="30">
      <c r="A30" t="n">
        <v>10</v>
      </c>
      <c r="B30" s="11" t="n">
        <v>45870</v>
      </c>
      <c r="C30" t="n">
        <v>3</v>
      </c>
      <c r="D30" s="13" t="n">
        <v>30800</v>
      </c>
    </row>
    <row r="31">
      <c r="A31" t="n">
        <v>20</v>
      </c>
      <c r="B31" s="11" t="n">
        <v>45870</v>
      </c>
      <c r="C31" t="n">
        <v>1</v>
      </c>
      <c r="D31" s="13" t="n">
        <v>9000</v>
      </c>
    </row>
    <row r="32">
      <c r="A32" t="n">
        <v>30</v>
      </c>
      <c r="B32" s="11" t="n">
        <v>45870</v>
      </c>
      <c r="C32" t="n">
        <v>1</v>
      </c>
      <c r="D32" s="13" t="n">
        <v>16000</v>
      </c>
    </row>
    <row r="33">
      <c r="A33" t="n">
        <v>40</v>
      </c>
      <c r="B33" s="11" t="n">
        <v>45870</v>
      </c>
      <c r="C33" t="n">
        <v>0.5</v>
      </c>
      <c r="D33" s="13" t="n">
        <v>6000</v>
      </c>
    </row>
    <row r="34">
      <c r="A34" t="n">
        <v>10</v>
      </c>
      <c r="B34" s="11" t="n">
        <v>45901</v>
      </c>
      <c r="C34" t="n">
        <v>3</v>
      </c>
      <c r="D34" s="13" t="n">
        <v>30800</v>
      </c>
    </row>
    <row r="35">
      <c r="A35" t="n">
        <v>20</v>
      </c>
      <c r="B35" s="11" t="n">
        <v>45901</v>
      </c>
      <c r="C35" t="n">
        <v>1</v>
      </c>
      <c r="D35" s="13" t="n">
        <v>9000</v>
      </c>
    </row>
    <row r="36">
      <c r="A36" t="n">
        <v>30</v>
      </c>
      <c r="B36" s="11" t="n">
        <v>45901</v>
      </c>
      <c r="C36" t="n">
        <v>1</v>
      </c>
      <c r="D36" s="13" t="n">
        <v>16000</v>
      </c>
    </row>
    <row r="37">
      <c r="A37" t="n">
        <v>40</v>
      </c>
      <c r="B37" s="11" t="n">
        <v>45901</v>
      </c>
      <c r="C37" t="n">
        <v>0.5</v>
      </c>
      <c r="D37" s="13" t="n">
        <v>6000</v>
      </c>
    </row>
    <row r="38">
      <c r="A38" t="n">
        <v>10</v>
      </c>
      <c r="B38" s="11" t="n">
        <v>45931</v>
      </c>
      <c r="C38" t="n">
        <v>3</v>
      </c>
      <c r="D38" s="13" t="n">
        <v>30800</v>
      </c>
    </row>
    <row r="39">
      <c r="A39" t="n">
        <v>20</v>
      </c>
      <c r="B39" s="11" t="n">
        <v>45931</v>
      </c>
      <c r="C39" t="n">
        <v>1</v>
      </c>
      <c r="D39" s="13" t="n">
        <v>9000</v>
      </c>
    </row>
    <row r="40">
      <c r="A40" t="n">
        <v>30</v>
      </c>
      <c r="B40" s="11" t="n">
        <v>45931</v>
      </c>
      <c r="C40" t="n">
        <v>1</v>
      </c>
      <c r="D40" s="13" t="n">
        <v>16000</v>
      </c>
    </row>
    <row r="41">
      <c r="A41" t="n">
        <v>40</v>
      </c>
      <c r="B41" s="11" t="n">
        <v>45931</v>
      </c>
      <c r="C41" t="n">
        <v>0.5</v>
      </c>
      <c r="D41" s="13" t="n">
        <v>6000</v>
      </c>
    </row>
    <row r="42">
      <c r="A42" t="n">
        <v>10</v>
      </c>
      <c r="B42" s="11" t="n">
        <v>45962</v>
      </c>
      <c r="C42" t="n">
        <v>3</v>
      </c>
      <c r="D42" s="13" t="n">
        <v>30800</v>
      </c>
    </row>
    <row r="43">
      <c r="A43" t="n">
        <v>20</v>
      </c>
      <c r="B43" s="11" t="n">
        <v>45962</v>
      </c>
      <c r="C43" t="n">
        <v>1</v>
      </c>
      <c r="D43" s="13" t="n">
        <v>9000</v>
      </c>
    </row>
    <row r="44">
      <c r="A44" t="n">
        <v>30</v>
      </c>
      <c r="B44" s="11" t="n">
        <v>45962</v>
      </c>
      <c r="C44" t="n">
        <v>1</v>
      </c>
      <c r="D44" s="13" t="n">
        <v>16000</v>
      </c>
    </row>
    <row r="45">
      <c r="A45" t="n">
        <v>40</v>
      </c>
      <c r="B45" s="11" t="n">
        <v>45962</v>
      </c>
      <c r="C45" t="n">
        <v>0.5</v>
      </c>
      <c r="D45" s="13" t="n">
        <v>6000</v>
      </c>
    </row>
    <row r="46">
      <c r="A46" t="n">
        <v>10</v>
      </c>
      <c r="B46" s="11" t="n">
        <v>45992</v>
      </c>
      <c r="C46" t="n">
        <v>3</v>
      </c>
      <c r="D46" s="13" t="n">
        <v>30800</v>
      </c>
    </row>
    <row r="47">
      <c r="A47" t="n">
        <v>20</v>
      </c>
      <c r="B47" s="11" t="n">
        <v>45992</v>
      </c>
      <c r="C47" t="n">
        <v>1</v>
      </c>
      <c r="D47" s="13" t="n">
        <v>9000</v>
      </c>
    </row>
    <row r="48">
      <c r="A48" t="n">
        <v>30</v>
      </c>
      <c r="B48" s="11" t="n">
        <v>45992</v>
      </c>
      <c r="C48" t="n">
        <v>1</v>
      </c>
      <c r="D48" s="13" t="n">
        <v>16000</v>
      </c>
    </row>
    <row r="49">
      <c r="A49" t="n">
        <v>40</v>
      </c>
      <c r="B49" s="11" t="n">
        <v>45992</v>
      </c>
      <c r="C49" t="n">
        <v>0.5</v>
      </c>
      <c r="D49" s="13" t="n">
        <v>6000</v>
      </c>
    </row>
    <row r="50">
      <c r="A50" t="n">
        <v>10</v>
      </c>
      <c r="B50" s="11" t="n">
        <v>46023</v>
      </c>
      <c r="C50" t="n">
        <v>3</v>
      </c>
      <c r="D50" s="13" t="n">
        <v>33000</v>
      </c>
    </row>
    <row r="51">
      <c r="A51" t="n">
        <v>20</v>
      </c>
      <c r="B51" s="11" t="n">
        <v>46023</v>
      </c>
      <c r="C51" t="n">
        <v>1</v>
      </c>
      <c r="D51" s="13" t="n">
        <v>9300</v>
      </c>
    </row>
    <row r="52">
      <c r="A52" t="n">
        <v>30</v>
      </c>
      <c r="B52" s="11" t="n">
        <v>46023</v>
      </c>
      <c r="C52" t="n">
        <v>1</v>
      </c>
      <c r="D52" s="13" t="n">
        <v>16800</v>
      </c>
    </row>
    <row r="53">
      <c r="A53" t="n">
        <v>40</v>
      </c>
      <c r="B53" s="11" t="n">
        <v>46023</v>
      </c>
      <c r="C53" t="n">
        <v>0.5</v>
      </c>
      <c r="D53" s="13" t="n">
        <v>6400</v>
      </c>
    </row>
    <row r="54">
      <c r="A54" t="n">
        <v>10</v>
      </c>
      <c r="B54" s="11" t="n">
        <v>46054</v>
      </c>
      <c r="C54" t="n">
        <v>3</v>
      </c>
      <c r="D54" s="13" t="n">
        <v>33000</v>
      </c>
    </row>
    <row r="55">
      <c r="A55" t="n">
        <v>20</v>
      </c>
      <c r="B55" s="11" t="n">
        <v>46054</v>
      </c>
      <c r="C55" t="n">
        <v>1</v>
      </c>
      <c r="D55" s="13" t="n">
        <v>9300</v>
      </c>
    </row>
    <row r="56">
      <c r="A56" t="n">
        <v>30</v>
      </c>
      <c r="B56" s="11" t="n">
        <v>46054</v>
      </c>
      <c r="C56" t="n">
        <v>1</v>
      </c>
      <c r="D56" s="13" t="n">
        <v>16800</v>
      </c>
    </row>
    <row r="57">
      <c r="A57" t="n">
        <v>40</v>
      </c>
      <c r="B57" s="11" t="n">
        <v>46054</v>
      </c>
      <c r="C57" t="n">
        <v>0.5</v>
      </c>
      <c r="D57" s="13" t="n">
        <v>6400</v>
      </c>
    </row>
    <row r="58">
      <c r="A58" t="n">
        <v>10</v>
      </c>
      <c r="B58" s="11" t="n">
        <v>46082</v>
      </c>
      <c r="C58" t="n">
        <v>3</v>
      </c>
      <c r="D58" s="13" t="n">
        <v>33000</v>
      </c>
    </row>
    <row r="59">
      <c r="A59" t="n">
        <v>20</v>
      </c>
      <c r="B59" s="11" t="n">
        <v>46082</v>
      </c>
      <c r="C59" t="n">
        <v>1</v>
      </c>
      <c r="D59" s="13" t="n">
        <v>9300</v>
      </c>
    </row>
    <row r="60">
      <c r="A60" t="n">
        <v>30</v>
      </c>
      <c r="B60" s="11" t="n">
        <v>46082</v>
      </c>
      <c r="C60" t="n">
        <v>1</v>
      </c>
      <c r="D60" s="13" t="n">
        <v>16800</v>
      </c>
    </row>
    <row r="61">
      <c r="A61" t="n">
        <v>40</v>
      </c>
      <c r="B61" s="11" t="n">
        <v>46082</v>
      </c>
      <c r="C61" t="n">
        <v>0.5</v>
      </c>
      <c r="D61" s="13" t="n">
        <v>6400</v>
      </c>
    </row>
    <row r="62">
      <c r="A62" t="n">
        <v>10</v>
      </c>
      <c r="B62" s="11" t="n">
        <v>46113</v>
      </c>
      <c r="C62" t="n">
        <v>3</v>
      </c>
      <c r="D62" s="13" t="n">
        <v>33000</v>
      </c>
    </row>
    <row r="63">
      <c r="A63" t="n">
        <v>20</v>
      </c>
      <c r="B63" s="11" t="n">
        <v>46113</v>
      </c>
      <c r="C63" t="n">
        <v>1</v>
      </c>
      <c r="D63" s="13" t="n">
        <v>9300</v>
      </c>
    </row>
    <row r="64">
      <c r="A64" t="n">
        <v>30</v>
      </c>
      <c r="B64" s="11" t="n">
        <v>46113</v>
      </c>
      <c r="C64" t="n">
        <v>1</v>
      </c>
      <c r="D64" s="13" t="n">
        <v>16800</v>
      </c>
    </row>
    <row r="65">
      <c r="A65" t="n">
        <v>40</v>
      </c>
      <c r="B65" s="11" t="n">
        <v>46113</v>
      </c>
      <c r="C65" t="n">
        <v>0.5</v>
      </c>
      <c r="D65" s="13" t="n">
        <v>6400</v>
      </c>
    </row>
    <row r="66">
      <c r="A66" t="n">
        <v>10</v>
      </c>
      <c r="B66" s="11" t="n">
        <v>46143</v>
      </c>
      <c r="C66" t="n">
        <v>3</v>
      </c>
      <c r="D66" s="13" t="n">
        <v>33000</v>
      </c>
    </row>
    <row r="67">
      <c r="A67" t="n">
        <v>20</v>
      </c>
      <c r="B67" s="11" t="n">
        <v>46143</v>
      </c>
      <c r="C67" t="n">
        <v>1</v>
      </c>
      <c r="D67" s="13" t="n">
        <v>9300</v>
      </c>
    </row>
    <row r="68">
      <c r="A68" t="n">
        <v>30</v>
      </c>
      <c r="B68" s="11" t="n">
        <v>46143</v>
      </c>
      <c r="C68" t="n">
        <v>1</v>
      </c>
      <c r="D68" s="13" t="n">
        <v>16800</v>
      </c>
    </row>
    <row r="69">
      <c r="A69" t="n">
        <v>40</v>
      </c>
      <c r="B69" s="11" t="n">
        <v>46143</v>
      </c>
      <c r="C69" t="n">
        <v>0.5</v>
      </c>
      <c r="D69" s="13" t="n">
        <v>6400</v>
      </c>
    </row>
    <row r="70">
      <c r="A70" t="n">
        <v>10</v>
      </c>
      <c r="B70" s="11" t="n">
        <v>46174</v>
      </c>
      <c r="C70" t="n">
        <v>3</v>
      </c>
      <c r="D70" s="13" t="n">
        <v>33000</v>
      </c>
    </row>
    <row r="71">
      <c r="A71" t="n">
        <v>20</v>
      </c>
      <c r="B71" s="11" t="n">
        <v>46174</v>
      </c>
      <c r="C71" t="n">
        <v>1</v>
      </c>
      <c r="D71" s="13" t="n">
        <v>9300</v>
      </c>
    </row>
    <row r="72">
      <c r="A72" t="n">
        <v>30</v>
      </c>
      <c r="B72" s="11" t="n">
        <v>46174</v>
      </c>
      <c r="C72" t="n">
        <v>1</v>
      </c>
      <c r="D72" s="13" t="n">
        <v>16800</v>
      </c>
    </row>
    <row r="73">
      <c r="A73" t="n">
        <v>40</v>
      </c>
      <c r="B73" s="11" t="n">
        <v>46174</v>
      </c>
      <c r="C73" t="n">
        <v>0.5</v>
      </c>
      <c r="D73" s="13" t="n">
        <v>6400</v>
      </c>
    </row>
    <row r="74">
      <c r="A74" t="n">
        <v>10</v>
      </c>
      <c r="B74" s="11" t="n">
        <v>46204</v>
      </c>
      <c r="C74" t="n">
        <v>3</v>
      </c>
      <c r="D74" s="13" t="n">
        <v>33000</v>
      </c>
    </row>
    <row r="75">
      <c r="A75" t="n">
        <v>20</v>
      </c>
      <c r="B75" s="11" t="n">
        <v>46204</v>
      </c>
      <c r="C75" t="n">
        <v>1</v>
      </c>
      <c r="D75" s="13" t="n">
        <v>9300</v>
      </c>
    </row>
    <row r="76">
      <c r="A76" t="n">
        <v>30</v>
      </c>
      <c r="B76" s="11" t="n">
        <v>46204</v>
      </c>
      <c r="C76" t="n">
        <v>1</v>
      </c>
      <c r="D76" s="13" t="n">
        <v>16800</v>
      </c>
    </row>
    <row r="77">
      <c r="A77" t="n">
        <v>40</v>
      </c>
      <c r="B77" s="11" t="n">
        <v>46204</v>
      </c>
      <c r="C77" t="n">
        <v>0.5</v>
      </c>
      <c r="D77" s="13" t="n">
        <v>6400</v>
      </c>
    </row>
    <row r="78">
      <c r="A78" t="n">
        <v>10</v>
      </c>
      <c r="B78" s="11" t="n">
        <v>46235</v>
      </c>
      <c r="C78" t="n">
        <v>3</v>
      </c>
      <c r="D78" s="13" t="n">
        <v>33000</v>
      </c>
    </row>
    <row r="79">
      <c r="A79" t="n">
        <v>20</v>
      </c>
      <c r="B79" s="11" t="n">
        <v>46235</v>
      </c>
      <c r="C79" t="n">
        <v>1</v>
      </c>
      <c r="D79" s="13" t="n">
        <v>9300</v>
      </c>
    </row>
    <row r="80">
      <c r="A80" t="n">
        <v>30</v>
      </c>
      <c r="B80" s="11" t="n">
        <v>46235</v>
      </c>
      <c r="C80" t="n">
        <v>1</v>
      </c>
      <c r="D80" s="13" t="n">
        <v>16800</v>
      </c>
    </row>
    <row r="81">
      <c r="A81" t="n">
        <v>40</v>
      </c>
      <c r="B81" s="11" t="n">
        <v>46235</v>
      </c>
      <c r="C81" t="n">
        <v>0.5</v>
      </c>
      <c r="D81" s="13" t="n">
        <v>6400</v>
      </c>
    </row>
    <row r="82">
      <c r="A82" t="n">
        <v>10</v>
      </c>
      <c r="B82" s="11" t="n">
        <v>46266</v>
      </c>
      <c r="C82" t="n">
        <v>3</v>
      </c>
      <c r="D82" s="13" t="n">
        <v>33000</v>
      </c>
    </row>
    <row r="83">
      <c r="A83" t="n">
        <v>20</v>
      </c>
      <c r="B83" s="11" t="n">
        <v>46266</v>
      </c>
      <c r="C83" t="n">
        <v>1</v>
      </c>
      <c r="D83" s="13" t="n">
        <v>9300</v>
      </c>
    </row>
    <row r="84">
      <c r="A84" t="n">
        <v>30</v>
      </c>
      <c r="B84" s="11" t="n">
        <v>46266</v>
      </c>
      <c r="C84" t="n">
        <v>1</v>
      </c>
      <c r="D84" s="13" t="n">
        <v>16800</v>
      </c>
    </row>
    <row r="85">
      <c r="A85" t="n">
        <v>40</v>
      </c>
      <c r="B85" s="11" t="n">
        <v>46266</v>
      </c>
      <c r="C85" t="n">
        <v>0.5</v>
      </c>
      <c r="D85" s="13" t="n">
        <v>6400</v>
      </c>
    </row>
    <row r="86">
      <c r="A86" t="n">
        <v>10</v>
      </c>
      <c r="B86" s="11" t="n">
        <v>46296</v>
      </c>
      <c r="C86" t="n">
        <v>3</v>
      </c>
      <c r="D86" s="13" t="n">
        <v>33000</v>
      </c>
    </row>
    <row r="87">
      <c r="A87" t="n">
        <v>20</v>
      </c>
      <c r="B87" s="11" t="n">
        <v>46296</v>
      </c>
      <c r="C87" t="n">
        <v>1</v>
      </c>
      <c r="D87" s="13" t="n">
        <v>9300</v>
      </c>
    </row>
    <row r="88">
      <c r="A88" t="n">
        <v>30</v>
      </c>
      <c r="B88" s="11" t="n">
        <v>46296</v>
      </c>
      <c r="C88" t="n">
        <v>1</v>
      </c>
      <c r="D88" s="13" t="n">
        <v>16800</v>
      </c>
    </row>
    <row r="89">
      <c r="A89" t="n">
        <v>40</v>
      </c>
      <c r="B89" s="11" t="n">
        <v>46296</v>
      </c>
      <c r="C89" t="n">
        <v>0.5</v>
      </c>
      <c r="D89" s="13" t="n">
        <v>6400</v>
      </c>
    </row>
    <row r="90">
      <c r="A90" t="n">
        <v>10</v>
      </c>
      <c r="B90" s="11" t="n">
        <v>46327</v>
      </c>
      <c r="C90" t="n">
        <v>3</v>
      </c>
      <c r="D90" s="13" t="n">
        <v>33000</v>
      </c>
    </row>
    <row r="91">
      <c r="A91" t="n">
        <v>20</v>
      </c>
      <c r="B91" s="11" t="n">
        <v>46327</v>
      </c>
      <c r="C91" t="n">
        <v>1</v>
      </c>
      <c r="D91" s="13" t="n">
        <v>9300</v>
      </c>
    </row>
    <row r="92">
      <c r="A92" t="n">
        <v>30</v>
      </c>
      <c r="B92" s="11" t="n">
        <v>46327</v>
      </c>
      <c r="C92" t="n">
        <v>1</v>
      </c>
      <c r="D92" s="13" t="n">
        <v>16800</v>
      </c>
    </row>
    <row r="93">
      <c r="A93" t="n">
        <v>40</v>
      </c>
      <c r="B93" s="11" t="n">
        <v>46327</v>
      </c>
      <c r="C93" t="n">
        <v>0.5</v>
      </c>
      <c r="D93" s="13" t="n">
        <v>6400</v>
      </c>
    </row>
    <row r="94">
      <c r="A94" t="n">
        <v>10</v>
      </c>
      <c r="B94" s="11" t="n">
        <v>46357</v>
      </c>
      <c r="C94" t="n">
        <v>3</v>
      </c>
      <c r="D94" s="13" t="n">
        <v>33000</v>
      </c>
    </row>
    <row r="95">
      <c r="A95" t="n">
        <v>20</v>
      </c>
      <c r="B95" s="11" t="n">
        <v>46357</v>
      </c>
      <c r="C95" t="n">
        <v>1</v>
      </c>
      <c r="D95" s="13" t="n">
        <v>9300</v>
      </c>
    </row>
    <row r="96">
      <c r="A96" t="n">
        <v>30</v>
      </c>
      <c r="B96" s="11" t="n">
        <v>46357</v>
      </c>
      <c r="C96" t="n">
        <v>1</v>
      </c>
      <c r="D96" s="13" t="n">
        <v>16800</v>
      </c>
    </row>
    <row r="97">
      <c r="A97" t="n">
        <v>40</v>
      </c>
      <c r="B97" s="11" t="n">
        <v>46357</v>
      </c>
      <c r="C97" t="n">
        <v>0.5</v>
      </c>
      <c r="D97" s="13" t="n">
        <v>6400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מס עובד</t>
        </is>
      </c>
      <c r="B1" t="inlineStr">
        <is>
          <t>שם עובד</t>
        </is>
      </c>
      <c r="C1" t="inlineStr">
        <is>
          <t>מחלקה</t>
        </is>
      </c>
      <c r="D1" t="inlineStr">
        <is>
          <t>תפקיד</t>
        </is>
      </c>
      <c r="E1" t="inlineStr">
        <is>
          <t>תאריך תחילה</t>
        </is>
      </c>
      <c r="F1" t="inlineStr">
        <is>
          <t>תאריך עזיבה</t>
        </is>
      </c>
      <c r="G1" t="inlineStr">
        <is>
          <t>היקף משרה</t>
        </is>
      </c>
    </row>
    <row r="2">
      <c r="A2" t="n">
        <v>101</v>
      </c>
      <c r="B2" t="inlineStr">
        <is>
          <t>אורית כהן</t>
        </is>
      </c>
      <c r="C2" t="n">
        <v>30</v>
      </c>
      <c r="D2" t="inlineStr">
        <is>
          <t>מנהלת חשבונות</t>
        </is>
      </c>
      <c r="E2" s="14" t="n">
        <v>43525</v>
      </c>
      <c r="F2" s="14" t="n"/>
      <c r="G2" s="15" t="n">
        <v>1</v>
      </c>
    </row>
    <row r="3">
      <c r="A3" t="n">
        <v>102</v>
      </c>
      <c r="B3" t="inlineStr">
        <is>
          <t>יוסי מזרחי</t>
        </is>
      </c>
      <c r="C3" t="n">
        <v>10</v>
      </c>
      <c r="D3" t="inlineStr">
        <is>
          <t>מנהל מכירות</t>
        </is>
      </c>
      <c r="E3" s="14" t="n">
        <v>43983</v>
      </c>
      <c r="F3" s="14" t="n"/>
      <c r="G3" s="15" t="n">
        <v>1</v>
      </c>
    </row>
    <row r="4">
      <c r="A4" t="n">
        <v>103</v>
      </c>
      <c r="B4" t="inlineStr">
        <is>
          <t>נועה פרץ</t>
        </is>
      </c>
      <c r="C4" t="n">
        <v>10</v>
      </c>
      <c r="D4" t="inlineStr">
        <is>
          <t>נציגת מכירות</t>
        </is>
      </c>
      <c r="E4" s="14" t="n">
        <v>44805</v>
      </c>
      <c r="F4" s="14" t="n">
        <v>45869</v>
      </c>
      <c r="G4" s="15" t="n">
        <v>1</v>
      </c>
    </row>
    <row r="5">
      <c r="A5" t="n">
        <v>104</v>
      </c>
      <c r="B5" t="inlineStr">
        <is>
          <t>רון אברהם</t>
        </is>
      </c>
      <c r="C5" t="n">
        <v>20</v>
      </c>
      <c r="D5" t="inlineStr">
        <is>
          <t>מחסנאי</t>
        </is>
      </c>
      <c r="E5" s="14" t="n">
        <v>44197</v>
      </c>
      <c r="F5" s="14" t="n"/>
      <c r="G5" s="15" t="n">
        <v>1</v>
      </c>
    </row>
    <row r="6">
      <c r="A6" t="n">
        <v>105</v>
      </c>
      <c r="B6" t="inlineStr">
        <is>
          <t>מיכל דהן</t>
        </is>
      </c>
      <c r="C6" t="n">
        <v>40</v>
      </c>
      <c r="D6" t="inlineStr">
        <is>
          <t>רכזת שיווק</t>
        </is>
      </c>
      <c r="E6" s="14" t="n">
        <v>45017</v>
      </c>
      <c r="F6" s="14" t="n"/>
      <c r="G6" s="15" t="n">
        <v>0.5</v>
      </c>
    </row>
    <row r="7">
      <c r="A7" t="n">
        <v>106</v>
      </c>
      <c r="B7" t="inlineStr">
        <is>
          <t>עמית ביטון</t>
        </is>
      </c>
      <c r="C7" t="n">
        <v>10</v>
      </c>
      <c r="D7" t="inlineStr">
        <is>
          <t>נציג מכירות</t>
        </is>
      </c>
      <c r="E7" s="14" t="n">
        <v>46054</v>
      </c>
      <c r="F7" s="14" t="n"/>
      <c r="G7" s="1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מחלקה</t>
        </is>
      </c>
      <c r="B1" t="inlineStr">
        <is>
          <t>שם מחלקה</t>
        </is>
      </c>
    </row>
    <row r="2">
      <c r="A2" t="n">
        <v>10</v>
      </c>
      <c r="B2" t="inlineStr">
        <is>
          <t>מכירות</t>
        </is>
      </c>
    </row>
    <row r="3">
      <c r="A3" t="n">
        <v>20</v>
      </c>
      <c r="B3" t="inlineStr">
        <is>
          <t>תפעול</t>
        </is>
      </c>
    </row>
    <row r="4">
      <c r="A4" t="n">
        <v>30</v>
      </c>
      <c r="B4" t="inlineStr">
        <is>
          <t>הנהלה</t>
        </is>
      </c>
    </row>
    <row r="5">
      <c r="A5" t="n">
        <v>40</v>
      </c>
      <c r="B5" t="inlineStr">
        <is>
          <t>שיווק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rightToLeft="1"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4" customWidth="1" min="3" max="3"/>
    <col width="9" customWidth="1" min="4" max="4"/>
  </cols>
  <sheetData>
    <row r="1">
      <c r="A1" t="inlineStr">
        <is>
          <t>מחלקה</t>
        </is>
      </c>
      <c r="B1" t="inlineStr">
        <is>
          <t>שם מנהל</t>
        </is>
      </c>
      <c r="C1" t="inlineStr">
        <is>
          <t>מייל</t>
        </is>
      </c>
      <c r="D1" t="inlineStr">
        <is>
          <t>לשלוח</t>
        </is>
      </c>
    </row>
    <row r="2">
      <c r="A2" t="n">
        <v>10</v>
      </c>
      <c r="B2" t="inlineStr">
        <is>
          <t>יוסי מזרחי</t>
        </is>
      </c>
      <c r="C2" t="inlineStr">
        <is>
          <t>yossi@nova.example</t>
        </is>
      </c>
      <c r="D2" t="b">
        <v>1</v>
      </c>
    </row>
    <row r="3">
      <c r="A3" t="n">
        <v>20</v>
      </c>
      <c r="B3" t="inlineStr">
        <is>
          <t>רון אברהם</t>
        </is>
      </c>
      <c r="C3" t="inlineStr">
        <is>
          <t>ron@nova.example</t>
        </is>
      </c>
      <c r="D3" t="b">
        <v>1</v>
      </c>
    </row>
    <row r="4">
      <c r="A4" t="n">
        <v>30</v>
      </c>
      <c r="B4" t="inlineStr">
        <is>
          <t>אורית כהן</t>
        </is>
      </c>
      <c r="C4" t="inlineStr">
        <is>
          <t>orit@nova.example</t>
        </is>
      </c>
      <c r="D4" t="b">
        <v>1</v>
      </c>
    </row>
    <row r="5">
      <c r="A5" t="n">
        <v>40</v>
      </c>
      <c r="B5" t="inlineStr">
        <is>
          <t>מיכל דהן</t>
        </is>
      </c>
      <c r="C5" t="inlineStr">
        <is>
          <t>michal@nova.example</t>
        </is>
      </c>
      <c r="D5" t="b">
        <v>1</v>
      </c>
    </row>
    <row r="7">
      <c r="A7" t="inlineStr">
        <is>
          <t>כתובות המייל בדויות (הסיומת nova.example לא קיימת). לפני הפעלה אמיתית מחליפים לכתובות של המשתתפת עצמה.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16" t="inlineStr">
        <is>
          <t>הגדרות להפצה</t>
        </is>
      </c>
    </row>
    <row r="3">
      <c r="A3" t="inlineStr">
        <is>
          <t>שנה</t>
        </is>
      </c>
      <c r="B3" s="3" t="n">
        <v>2026</v>
      </c>
    </row>
    <row r="4">
      <c r="A4" t="inlineStr">
        <is>
          <t>עד חודש</t>
        </is>
      </c>
      <c r="B4" s="3" t="n">
        <v>8</v>
      </c>
    </row>
    <row r="5">
      <c r="A5" t="inlineStr">
        <is>
          <t>תיקייה לקובצי PDF (ריק = התיקייה של הקובץ)</t>
        </is>
      </c>
      <c r="B5" s="3" t="n"/>
    </row>
    <row r="6">
      <c r="A6" t="inlineStr">
        <is>
          <t>לשלוח מיד? (FALSE = רק לפתוח טיוטה)</t>
        </is>
      </c>
      <c r="B6" s="3" t="b">
        <v>0</v>
      </c>
    </row>
    <row r="7">
      <c r="A7" t="inlineStr">
        <is>
          <t>נושא המייל</t>
        </is>
      </c>
      <c r="B7" s="3">
        <f>"דוח שכר "&amp;'דוח מחלקה'!$B$3&amp;" עד "&amp;TEXT(DATE(ReportYear,ReportMonth,1),"mm/yyyy")</f>
        <v/>
      </c>
    </row>
    <row r="8" ht="110" customHeight="1">
      <c r="A8" t="inlineStr">
        <is>
          <t>גוף המייל</t>
        </is>
      </c>
      <c r="B8" s="17">
        <f>"שלום "&amp;'דוח מחלקה'!$B$4&amp;","&amp;CHAR(10)&amp;CHAR(10)&amp;"מצורף דוח השכר של מחלקת "&amp;'דוח מחלקה'!$B$3&amp;" עד "&amp;TEXT(DATE(ReportYear,ReportMonth,1),"mm/yyyy")&amp;"."&amp;CHAR(10)&amp;"הסטייה מהתקציב מתחילת השנה: "&amp;TEXT('דוח מחלקה'!$D$22,"#,##0")&amp;" ש""ח."&amp;CHAR(10)&amp;CHAR(10)&amp;"מחלקת כספים"</f>
        <v/>
      </c>
    </row>
    <row r="11">
      <c r="A11" t="inlineStr">
        <is>
          <t>הקוד לא מכיל אף מילה בעברית: כל הטקסטים, השנה והתיקייה נמצאים כאן, בשמות מוגדרים.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2026-10-09T07:47:35Z</dcterms:created>
  <dcterms:modified xsi:type="dcterms:W3CDTF">2026-10-09T07:47:35Z</dcterms:modified>
</cp:coreProperties>
</file>